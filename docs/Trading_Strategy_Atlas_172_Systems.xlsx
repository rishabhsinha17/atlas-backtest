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1776d7fcc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y Library" sheetId="1" r:id="R0c4fc56f65544a0c"/>
    <x:sheet xmlns:r="http://schemas.openxmlformats.org/officeDocument/2006/relationships" name="Sizing Profiles" sheetId="2" r:id="R59dd6d21974144f0"/>
    <x:sheet xmlns:r="http://schemas.openxmlformats.org/officeDocument/2006/relationships" name="Research Sources" sheetId="3" r:id="R313cf6a23fc342c5"/>
    <x:sheet xmlns:r="http://schemas.openxmlformats.org/officeDocument/2006/relationships" name="Cost Stress Calculator" sheetId="4" r:id="Rc26fefe943294499"/>
    <x:sheet xmlns:r="http://schemas.openxmlformats.org/officeDocument/2006/relationships" name="Read Me" sheetId="5" r:id="R91e2c92a33c2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63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4869dee764596" /><Relationship Type="http://schemas.openxmlformats.org/officeDocument/2006/relationships/theme" Target="/xl/theme/theme1.xml" Id="R0e57234c815446b1" /><Relationship Type="http://schemas.openxmlformats.org/officeDocument/2006/relationships/sharedStrings" Target="/xl/sharedStrings.xml" Id="Ra36746db71094398" /><Relationship Type="http://schemas.openxmlformats.org/officeDocument/2006/relationships/worksheet" Target="/xl/worksheets/sheet1.xml" Id="R0c4fc56f65544a0c" /><Relationship Type="http://schemas.openxmlformats.org/officeDocument/2006/relationships/worksheet" Target="/xl/worksheets/sheet2.xml" Id="R59dd6d21974144f0" /><Relationship Type="http://schemas.openxmlformats.org/officeDocument/2006/relationships/worksheet" Target="/xl/worksheets/sheet3.xml" Id="R313cf6a23fc342c5" /><Relationship Type="http://schemas.openxmlformats.org/officeDocument/2006/relationships/worksheet" Target="/xl/worksheets/sheet4.xml" Id="Rc26fefe943294499" /><Relationship Type="http://schemas.openxmlformats.org/officeDocument/2006/relationships/worksheet" Target="/xl/worksheets/sheet5.xml" Id="R91e2c92a33c24656" /></Relationships>
</file>

<file path=xl/tables/table1.xml><?xml version="1.0" encoding="utf-8"?>
<x:table xmlns:x="http://schemas.openxmlformats.org/spreadsheetml/2006/main" id="1" name="TradingStrategyLibrary" displayName="TradingStrategyLibrary" ref="A1:M173" headerRowCount="1" totalsRowCount="0" totalsRowShown="0">
  <x:tableColumns count="13">
    <x:tableColumn id="1" name="ID"/>
    <x:tableColumn id="2" name="Family"/>
    <x:tableColumn id="3" name="Strategy"/>
    <x:tableColumn id="4" name="Assets"/>
    <x:tableColumn id="5" name="Bars"/>
    <x:tableColumn id="6" name="Entry rule"/>
    <x:tableColumn id="7" name="Exit / risk rule"/>
    <x:tableColumn id="8" name="Parameters to test"/>
    <x:tableColumn id="9" name="Sizing"/>
    <x:tableColumn id="10" name="Evidence status"/>
    <x:tableColumn id="11" name="Execution caveats"/>
    <x:tableColumn id="12" name="Main failure mode"/>
    <x:tableColumn id="13" name="Referen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a470b3b6bc41e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9" hidden="0" customWidth="1"/>
    <x:col min="3" max="3" width="33" hidden="0" customWidth="1"/>
    <x:col min="4" max="4" width="11" hidden="0" customWidth="1"/>
    <x:col min="5" max="5" width="9" hidden="0" customWidth="1"/>
    <x:col min="6" max="6" width="59" hidden="0" customWidth="1"/>
    <x:col min="7" max="7" width="52" hidden="0" customWidth="1"/>
    <x:col min="8" max="8" width="40" hidden="0" customWidth="1"/>
    <x:col min="9" max="9" width="17" hidden="0" customWidth="1"/>
    <x:col min="10" max="10" width="24" hidden="0" customWidth="1"/>
    <x:col min="11" max="11" width="34" hidden="0" customWidth="1"/>
    <x:col min="12" max="12" width="28" hidden="0" customWidth="1"/>
    <x:col min="13" max="13" width="40" hidden="0" customWidth="1"/>
  </x:cols>
  <x:sheetData>
    <x:row r="1" ht="29" customHeight="1">
      <x:c r="A1" s="3" t="str">
        <x:v>ID</x:v>
      </x:c>
      <x:c r="B1" s="3" t="str">
        <x:v>Family</x:v>
      </x:c>
      <x:c r="C1" s="3" t="str">
        <x:v>Strategy</x:v>
      </x:c>
      <x:c r="D1" s="3" t="str">
        <x:v>Assets</x:v>
      </x:c>
      <x:c r="E1" s="3" t="str">
        <x:v>Bars</x:v>
      </x:c>
      <x:c r="F1" s="3" t="str">
        <x:v>Entry rule</x:v>
      </x:c>
      <x:c r="G1" s="3" t="str">
        <x:v>Exit / risk rule</x:v>
      </x:c>
      <x:c r="H1" s="3" t="str">
        <x:v>Parameters to test</x:v>
      </x:c>
      <x:c r="I1" s="3" t="str">
        <x:v>Sizing</x:v>
      </x:c>
      <x:c r="J1" s="3" t="str">
        <x:v>Evidence status</x:v>
      </x:c>
      <x:c r="K1" s="3" t="str">
        <x:v>Execution caveats</x:v>
      </x:c>
      <x:c r="L1" s="3" t="str">
        <x:v>Main failure mode</x:v>
      </x:c>
      <x:c r="M1" s="3" t="str">
        <x:v>Reference URL</x:v>
      </x:c>
    </x:row>
    <x:row r="2" ht="44" customHeight="1">
      <x:c r="A2" s="6" t="str">
        <x:v>S001</x:v>
      </x:c>
      <x:c r="B2" s="6" t="str">
        <x:v>Intraday breakout / momentum</x:v>
      </x:c>
      <x:c r="C2" s="6" t="str">
        <x:v>5-minute opening range breakout long</x:v>
      </x:c>
      <x:c r="D2" s="6" t="str">
        <x:v>STK/ETF</x:v>
      </x:c>
      <x:c r="E2" s="6" t="str">
        <x:v>1m</x:v>
      </x:c>
      <x:c r="F2" s="6" t="str">
        <x:v>At 09:35 ET calculate H=max(highs 09:30-09:34); enter at first 1m close &gt;H after 09:35; require 09:35 RVOL(5m)&gt;=1.5 versus time-of-day historical median and last price&gt;session VWAP.</x:v>
      </x:c>
      <x:c r="G2" s="6" t="str">
        <x:v>Stop L=min(lows 09:30-09:34); optional take 2R; otherwise exit 15:55; at most one entry/day.</x:v>
      </x:c>
      <x:c r="H2" s="6" t="str">
        <x:v>opening 5/15/30m; RVOL 1/1.5/2; target none/1.5R/2R; stop OR low/1 ATR(5m)</x:v>
      </x:c>
      <x:c r="I2" s="6" t="str">
        <x:v>DAY_RISK</x:v>
      </x:c>
      <x:c r="J2" s="6" t="str">
        <x:v>Research-backed mechanism; exact rules are baseline</x:v>
      </x:c>
      <x:c r="K2" s="6" t="str"/>
      <x:c r="L2" s="6" t="str">
        <x:v>False breakouts and open spreads</x:v>
      </x:c>
      <x:c r="M2" s="6" t="str">
        <x:v>https://papers.ssrn.com/sol3/papers.cfm?abstract_id=4729284</x:v>
      </x:c>
    </x:row>
    <x:row r="3" ht="44" customHeight="1">
      <x:c r="A3" s="6" t="str">
        <x:v>S002</x:v>
      </x:c>
      <x:c r="B3" s="6" t="str">
        <x:v>Intraday breakout / momentum</x:v>
      </x:c>
      <x:c r="C3" s="6" t="str">
        <x:v>15-minute opening range breakout short</x:v>
      </x:c>
      <x:c r="D3" s="6" t="str">
        <x:v>STK/ETF</x:v>
      </x:c>
      <x:c r="E3" s="6" t="str">
        <x:v>1m</x:v>
      </x:c>
      <x:c r="F3" s="6" t="str">
        <x:v>At 09:45 calculate L=min 09:30-09:44; short on first 1m close &lt;L before 12:00, price&lt;VWAP, opening 15m turnover &gt;=0.05% of 20d ADV.</x:v>
      </x:c>
      <x:c r="G3" s="6" t="str">
        <x:v>Stop H=max 09:30-09:44; exit 15:55 or 2R; one short/day.</x:v>
      </x:c>
      <x:c r="H3" s="6" t="str">
        <x:v>OR 5/15/30m; turnover .025/.05/.1% ADV; target 1/2R</x:v>
      </x:c>
      <x:c r="I3" s="6" t="str">
        <x:v>DAY_RISK</x:v>
      </x:c>
      <x:c r="J3" s="6" t="str">
        <x:v>Research-backed mechanism; exact rules are baseline</x:v>
      </x:c>
      <x:c r="K3" s="6" t="str">
        <x:v>Require historical borrow locate</x:v>
      </x:c>
      <x:c r="L3" s="6" t="str"/>
      <x:c r="M3" s="6" t="str">
        <x:v>https://papers.ssrn.com/sol3/papers.cfm?abstract_id=4729284</x:v>
      </x:c>
    </x:row>
    <x:row r="4" ht="44" customHeight="1">
      <x:c r="A4" s="6" t="str">
        <x:v>S003</x:v>
      </x:c>
      <x:c r="B4" s="6" t="str">
        <x:v>Intraday breakout / momentum</x:v>
      </x:c>
      <x:c r="C4" s="6" t="str">
        <x:v>Opening-range breakout with retest</x:v>
      </x:c>
      <x:c r="D4" s="6" t="str">
        <x:v>STK/ETF</x:v>
      </x:c>
      <x:c r="E4" s="6" t="str">
        <x:v>1m</x:v>
      </x:c>
      <x:c r="F4" s="6" t="str">
        <x:v>After 15m OR, first 1m close &gt;OR high; do not chase. Enter when low of next 15 bars &lt;=OR high and a later 1m close &gt;OR high+0.05% (sequence ordered).</x:v>
      </x:c>
      <x:c r="G4" s="6" t="str">
        <x:v>Stop min(retest swing low,OR midpoint); exit 15:55 or 2R.</x:v>
      </x:c>
      <x:c r="H4" s="6" t="str">
        <x:v>Retest window 5/15/30 bars; buffer 0/5/10bp</x:v>
      </x:c>
      <x:c r="I4" s="6" t="str">
        <x:v>DAY_RISK</x:v>
      </x:c>
      <x:c r="J4" s="6" t="str">
        <x:v>Hypothesis</x:v>
      </x:c>
      <x:c r="K4" s="6" t="str"/>
      <x:c r="L4" s="6" t="str"/>
      <x:c r="M4" s="6" t="str">
        <x:v>https://papers.ssrn.com/sol3/papers.cfm?abstract_id=4729284</x:v>
      </x:c>
    </x:row>
    <x:row r="5" ht="44" customHeight="1">
      <x:c r="A5" s="6" t="str">
        <x:v>S004</x:v>
      </x:c>
      <x:c r="B5" s="6" t="str">
        <x:v>Intraday breakout / momentum</x:v>
      </x:c>
      <x:c r="C5" s="6" t="str">
        <x:v>Opening-drive momentum</x:v>
      </x:c>
      <x:c r="D5" s="6" t="str">
        <x:v>STK/ETF</x:v>
      </x:c>
      <x:c r="E5" s="6" t="str">
        <x:v>1m</x:v>
      </x:c>
      <x:c r="F5" s="6" t="str">
        <x:v>At 09:40 last price &gt;= open*(1+0.01), first 10m closes &gt;=8/10 positive, VWAP slope &gt;0; enter next 1m open.</x:v>
      </x:c>
      <x:c r="G5" s="6" t="str">
        <x:v>Stop 09:30-09:39 low; exit on two closes &lt; VWAP or at 11:30.</x:v>
      </x:c>
      <x:c r="H5" s="6" t="str">
        <x:v>Move 0.5/1/1.5%; 7/8/9 positive candles; cutoff 10:30/11:30</x:v>
      </x:c>
      <x:c r="I5" s="6" t="str">
        <x:v>DAY_RISK</x:v>
      </x:c>
      <x:c r="J5" s="6" t="str">
        <x:v>Hypothesis</x:v>
      </x:c>
      <x:c r="K5" s="6" t="str"/>
      <x:c r="L5" s="6" t="str"/>
      <x:c r="M5" s="6" t="str">
        <x:v>https://papers.ssrn.com/sol3/papers.cfm?abstract_id=4729284</x:v>
      </x:c>
    </x:row>
    <x:row r="6" ht="44" customHeight="1">
      <x:c r="A6" s="6" t="str">
        <x:v>S005</x:v>
      </x:c>
      <x:c r="B6" s="6" t="str">
        <x:v>Intraday breakout / momentum</x:v>
      </x:c>
      <x:c r="C6" s="6" t="str">
        <x:v>Gap-and-go upward</x:v>
      </x:c>
      <x:c r="D6" s="6" t="str">
        <x:v>STK</x:v>
      </x:c>
      <x:c r="E6" s="6" t="str">
        <x:v>1m</x:v>
      </x:c>
      <x:c r="F6" s="6" t="str">
        <x:v>Premarket 09:29 midpoint / prior adjusted close -1 &gt;=+2%; premarket turnover &gt;=0.2*20d ADV; enter on first 5m close &gt;09:30 open and above premarket VWAP.</x:v>
      </x:c>
      <x:c r="G6" s="6" t="str">
        <x:v>Stop 09:30-09:34 low; exit 15:55 or 2R.</x:v>
      </x:c>
      <x:c r="H6" s="6" t="str">
        <x:v>Gap 1/2/4%; PM turnover 0.1/0.2/0.5 ADV</x:v>
      </x:c>
      <x:c r="I6" s="6" t="str">
        <x:v>DAY_RISK</x:v>
      </x:c>
      <x:c r="J6" s="6" t="str">
        <x:v>Hypothesis</x:v>
      </x:c>
      <x:c r="K6" s="6" t="str">
        <x:v>Use historical premarket bars and corporate-action aligned close</x:v>
      </x:c>
      <x:c r="L6" s="6" t="str"/>
      <x:c r="M6" s="6" t="str">
        <x:v>https://papers.ssrn.com/sol3/papers.cfm?abstract_id=4729284</x:v>
      </x:c>
    </x:row>
    <x:row r="7" ht="44" customHeight="1">
      <x:c r="A7" s="6" t="str">
        <x:v>S006</x:v>
      </x:c>
      <x:c r="B7" s="6" t="str">
        <x:v>Intraday breakout / momentum</x:v>
      </x:c>
      <x:c r="C7" s="6" t="str">
        <x:v>Gap-and-go downward</x:v>
      </x:c>
      <x:c r="D7" s="6" t="str">
        <x:v>STK</x:v>
      </x:c>
      <x:c r="E7" s="6" t="str">
        <x:v>1m</x:v>
      </x:c>
      <x:c r="F7" s="6" t="str">
        <x:v>Gap at 09:29 midpoint &lt;=-2%; premarket volume &gt;=0.2*20d ADV; enter short on first 5m close below 09:30 open and below premarket VWAP.</x:v>
      </x:c>
      <x:c r="G7" s="6" t="str">
        <x:v>Stop opening 5m high; exit 15:55 or 2R.</x:v>
      </x:c>
      <x:c r="H7" s="6" t="str">
        <x:v>Gap -1/-2/-4%; profit 1.5/2R</x:v>
      </x:c>
      <x:c r="I7" s="6" t="str">
        <x:v>DAY_RISK</x:v>
      </x:c>
      <x:c r="J7" s="6" t="str">
        <x:v>Hypothesis</x:v>
      </x:c>
      <x:c r="K7" s="6" t="str">
        <x:v>Require borrow locate</x:v>
      </x:c>
      <x:c r="L7" s="6" t="str"/>
      <x:c r="M7" s="6" t="str">
        <x:v>https://papers.ssrn.com/sol3/papers.cfm?abstract_id=4729284</x:v>
      </x:c>
    </x:row>
    <x:row r="8" ht="44" customHeight="1">
      <x:c r="A8" s="6" t="str">
        <x:v>S007</x:v>
      </x:c>
      <x:c r="B8" s="6" t="str">
        <x:v>Intraday breakout / momentum</x:v>
      </x:c>
      <x:c r="C8" s="6" t="str">
        <x:v>Premarket-high breakout</x:v>
      </x:c>
      <x:c r="D8" s="6" t="str">
        <x:v>STK</x:v>
      </x:c>
      <x:c r="E8" s="6" t="str">
        <x:v>1m</x:v>
      </x:c>
      <x:c r="F8" s="6" t="str">
        <x:v>Premarket 07:00-09:29 high P; gap &gt;=1%; at 09:35 or later close 1m &gt;P, price&gt;VWAP and RTH volume to time&gt;time-of-day median*2.</x:v>
      </x:c>
      <x:c r="G8" s="6" t="str">
        <x:v>Stop 5m swing low before breakout; exit 15:55 or at 2R.</x:v>
      </x:c>
      <x:c r="H8" s="6" t="str">
        <x:v>Gap 1/2%; RVOL 1.5/2/3</x:v>
      </x:c>
      <x:c r="I8" s="6" t="str">
        <x:v>DAY_RISK</x:v>
      </x:c>
      <x:c r="J8" s="6" t="str">
        <x:v>Hypothesis</x:v>
      </x:c>
      <x:c r="K8" s="6" t="str"/>
      <x:c r="L8" s="6" t="str"/>
      <x:c r="M8" s="6" t="str">
        <x:v>https://papers.ssrn.com/sol3/papers.cfm?abstract_id=4729284</x:v>
      </x:c>
    </x:row>
    <x:row r="9" ht="44" customHeight="1">
      <x:c r="A9" s="6" t="str">
        <x:v>S008</x:v>
      </x:c>
      <x:c r="B9" s="6" t="str">
        <x:v>Intraday breakout / momentum</x:v>
      </x:c>
      <x:c r="C9" s="6" t="str">
        <x:v>Previous-day-high intraday breakout</x:v>
      </x:c>
      <x:c r="D9" s="6" t="str">
        <x:v>STK/ETF</x:v>
      </x:c>
      <x:c r="E9" s="6" t="str">
        <x:v>1m</x:v>
      </x:c>
      <x:c r="F9" s="6" t="str">
        <x:v>After 09:45 enter long first 5m close &gt;prior RTH high and day VWAP, if prior 20d return&gt;0.</x:v>
      </x:c>
      <x:c r="G9" s="6" t="str">
        <x:v>Stop most recent 5m swing low; 3R target or close 15:55.</x:v>
      </x:c>
      <x:c r="H9" s="6" t="str">
        <x:v>Lookback 1/2/5d high; confirmation 1/5m</x:v>
      </x:c>
      <x:c r="I9" s="6" t="str">
        <x:v>DAY_RISK</x:v>
      </x:c>
      <x:c r="J9" s="6" t="str">
        <x:v>Hypothesis</x:v>
      </x:c>
      <x:c r="K9" s="6" t="str"/>
      <x:c r="L9" s="6" t="str"/>
      <x:c r="M9" s="6" t="str">
        <x:v>https://www.nber.org/papers/w7613</x:v>
      </x:c>
    </x:row>
    <x:row r="10" ht="44" customHeight="1">
      <x:c r="A10" s="6" t="str">
        <x:v>S009</x:v>
      </x:c>
      <x:c r="B10" s="6" t="str">
        <x:v>Intraday breakout / momentum</x:v>
      </x:c>
      <x:c r="C10" s="6" t="str">
        <x:v>Intraday NR7 compression break</x:v>
      </x:c>
      <x:c r="D10" s="6" t="str">
        <x:v>STK/ETF</x:v>
      </x:c>
      <x:c r="E10" s="6" t="str">
        <x:v>5m</x:v>
      </x:c>
      <x:c r="F10" s="6" t="str">
        <x:v>Identify prior 7 5m bar high-low ranges; if completed prior bar has minimum range of prior 7, enter when next 5m close crosses its high; VWAP positive.</x:v>
      </x:c>
      <x:c r="G10" s="6" t="str">
        <x:v>Stop compression bar low; exit after 6 bars or 2R.</x:v>
      </x:c>
      <x:c r="H10" s="6" t="str">
        <x:v>Compression 5/7/10 bars; expiration 4/6/10 bars</x:v>
      </x:c>
      <x:c r="I10" s="6" t="str">
        <x:v>DAY_RISK</x:v>
      </x:c>
      <x:c r="J10" s="6" t="str">
        <x:v>Hypothesis</x:v>
      </x:c>
      <x:c r="K10" s="6" t="str"/>
      <x:c r="L10" s="6" t="str"/>
      <x:c r="M10" s="6" t="str">
        <x:v>https://www.nber.org/papers/w7613</x:v>
      </x:c>
    </x:row>
    <x:row r="11" ht="44" customHeight="1">
      <x:c r="A11" s="6" t="str">
        <x:v>S010</x:v>
      </x:c>
      <x:c r="B11" s="6" t="str">
        <x:v>Intraday breakout / momentum</x:v>
      </x:c>
      <x:c r="C11" s="6" t="str">
        <x:v>Intraday flag continuation</x:v>
      </x:c>
      <x:c r="D11" s="6" t="str">
        <x:v>STK</x:v>
      </x:c>
      <x:c r="E11" s="6" t="str">
        <x:v>1m</x:v>
      </x:c>
      <x:c r="F11" s="6" t="str">
        <x:v>At least +2% from 09:30 open within 45m; next 5-15 bars retrace 20-50% of impulse and have lower aggregate volume than impulse; enter close above flag high.</x:v>
      </x:c>
      <x:c r="G11" s="6" t="str">
        <x:v>Stop low of flag; exit 2R or 15:55.</x:v>
      </x:c>
      <x:c r="H11" s="6" t="str">
        <x:v>Impulse 1/2/3%; retrace 20-50/30-60%; max flag 10/20m</x:v>
      </x:c>
      <x:c r="I11" s="6" t="str">
        <x:v>DAY_RISK</x:v>
      </x:c>
      <x:c r="J11" s="6" t="str">
        <x:v>Hypothesis</x:v>
      </x:c>
      <x:c r="K11" s="6" t="str"/>
      <x:c r="L11" s="6" t="str"/>
      <x:c r="M11" s="6" t="str">
        <x:v>https://www.nber.org/papers/w7613</x:v>
      </x:c>
    </x:row>
    <x:row r="12" ht="44" customHeight="1">
      <x:c r="A12" s="6" t="str">
        <x:v>S011</x:v>
      </x:c>
      <x:c r="B12" s="6" t="str">
        <x:v>Intraday breakout / momentum</x:v>
      </x:c>
      <x:c r="C12" s="6" t="str">
        <x:v>First-hour range break</x:v>
      </x:c>
      <x:c r="D12" s="6" t="str">
        <x:v>STK/ETF</x:v>
      </x:c>
      <x:c r="E12" s="6" t="str">
        <x:v>5m</x:v>
      </x:c>
      <x:c r="F12" s="6" t="str">
        <x:v>At 10:30 store first-hour high and low; enter on first complete 5m close &gt; high and RSI(14,5m)&gt;55.</x:v>
      </x:c>
      <x:c r="G12" s="6" t="str">
        <x:v>Stop first-hour midpoint; exit 15:55.</x:v>
      </x:c>
      <x:c r="H12" s="6" t="str">
        <x:v>Break threshold 0/5bp; RSI 50/55/60</x:v>
      </x:c>
      <x:c r="I12" s="6" t="str">
        <x:v>DAY_RISK</x:v>
      </x:c>
      <x:c r="J12" s="6" t="str">
        <x:v>Hypothesis</x:v>
      </x:c>
      <x:c r="K12" s="6" t="str"/>
      <x:c r="L12" s="6" t="str"/>
      <x:c r="M12" s="6" t="str">
        <x:v>https://www.nber.org/papers/w7613</x:v>
      </x:c>
    </x:row>
    <x:row r="13" ht="44" customHeight="1">
      <x:c r="A13" s="6" t="str">
        <x:v>S012</x:v>
      </x:c>
      <x:c r="B13" s="6" t="str">
        <x:v>Intraday breakout / momentum</x:v>
      </x:c>
      <x:c r="C13" s="6" t="str">
        <x:v>Intraday VWAP continuation long</x:v>
      </x:c>
      <x:c r="D13" s="6" t="str">
        <x:v>STK/ETF</x:v>
      </x:c>
      <x:c r="E13" s="6" t="str">
        <x:v>5m</x:v>
      </x:c>
      <x:c r="F13" s="6" t="str">
        <x:v>After 10:00, require close&gt;session VWAP, VWAP today rising 3 bars and a pullback low touches VWAP within 10bp then current 5m close&gt;previous 5m high.</x:v>
      </x:c>
      <x:c r="G13" s="6" t="str">
        <x:v>Stop pullback low; exit on 5m close &lt;VWAP or 15:55.</x:v>
      </x:c>
      <x:c r="H13" s="6" t="str">
        <x:v>VWAP touch 5/10/20bp; confirmation 1/2 bars</x:v>
      </x:c>
      <x:c r="I13" s="6" t="str">
        <x:v>DAY_RISK</x:v>
      </x:c>
      <x:c r="J13" s="6" t="str">
        <x:v>Hypothesis</x:v>
      </x:c>
      <x:c r="K13" s="6" t="str"/>
      <x:c r="L13" s="6" t="str"/>
      <x:c r="M13" s="6" t="str">
        <x:v>https://www.sciencedirect.com/science/article/pii/S0304405X18301351</x:v>
      </x:c>
    </x:row>
    <x:row r="14" ht="44" customHeight="1">
      <x:c r="A14" s="6" t="str">
        <x:v>S013</x:v>
      </x:c>
      <x:c r="B14" s="6" t="str">
        <x:v>Intraday breakout / momentum</x:v>
      </x:c>
      <x:c r="C14" s="6" t="str">
        <x:v>Intraday VWAP reclaim long</x:v>
      </x:c>
      <x:c r="D14" s="6" t="str">
        <x:v>STK/ETF</x:v>
      </x:c>
      <x:c r="E14" s="6" t="str">
        <x:v>1m</x:v>
      </x:c>
      <x:c r="F14" s="6" t="str">
        <x:v>After 10:00 require at least 15 consecutive minutes below VWAP; first 5m close above VWAP with volume &gt;prior 20 completed 5m bars mean*1.5.</x:v>
      </x:c>
      <x:c r="G14" s="6" t="str">
        <x:v>Stop low of reclaim 5m bar; exit on 5m close below VWAP or 15:55.</x:v>
      </x:c>
      <x:c r="H14" s="6" t="str">
        <x:v>Below 10/15/30m; rel volume 1/1.5/2</x:v>
      </x:c>
      <x:c r="I14" s="6" t="str">
        <x:v>DAY_RISK</x:v>
      </x:c>
      <x:c r="J14" s="6" t="str">
        <x:v>Hypothesis</x:v>
      </x:c>
      <x:c r="K14" s="6" t="str"/>
      <x:c r="L14" s="6" t="str"/>
      <x:c r="M14" s="6" t="str">
        <x:v>https://www.sciencedirect.com/science/article/pii/S0304405X18301351</x:v>
      </x:c>
    </x:row>
    <x:row r="15" ht="44" customHeight="1">
      <x:c r="A15" s="6" t="str">
        <x:v>S014</x:v>
      </x:c>
      <x:c r="B15" s="6" t="str">
        <x:v>Intraday breakout / momentum</x:v>
      </x:c>
      <x:c r="C15" s="6" t="str">
        <x:v>VWAP-band momentum acceleration</x:v>
      </x:c>
      <x:c r="D15" s="6" t="str">
        <x:v>STK/ETF</x:v>
      </x:c>
      <x:c r="E15" s="6" t="str">
        <x:v>5m</x:v>
      </x:c>
      <x:c r="F15" s="6" t="str">
        <x:v>After 10:00, z=(close-VWAP)/VWAP-weighted intraday stdev &gt;=+1.5 and last 3 5m bars rise; buy next open.</x:v>
      </x:c>
      <x:c r="G15" s="6" t="str">
        <x:v>Stop below session VWAP or 1ATR(5m), nearer; exit after 6 bars or at 2R.</x:v>
      </x:c>
      <x:c r="H15" s="6" t="str">
        <x:v>z 1/1.5/2; hold 3/6/12 bars</x:v>
      </x:c>
      <x:c r="I15" s="6" t="str">
        <x:v>DAY_RISK</x:v>
      </x:c>
      <x:c r="J15" s="6" t="str">
        <x:v>Hypothesis</x:v>
      </x:c>
      <x:c r="K15" s="6" t="str"/>
      <x:c r="L15" s="6" t="str"/>
      <x:c r="M15" s="6" t="str">
        <x:v>https://www.sciencedirect.com/science/article/pii/S0304405X18301351</x:v>
      </x:c>
    </x:row>
    <x:row r="16" ht="44" customHeight="1">
      <x:c r="A16" s="6" t="str">
        <x:v>S015</x:v>
      </x:c>
      <x:c r="B16" s="6" t="str">
        <x:v>Intraday breakout / momentum</x:v>
      </x:c>
      <x:c r="C16" s="6" t="str">
        <x:v>Closing half-hour momentum</x:v>
      </x:c>
      <x:c r="D16" s="6" t="str">
        <x:v>ETF</x:v>
      </x:c>
      <x:c r="E16" s="6" t="str">
        <x:v>1m</x:v>
      </x:c>
      <x:c r="F16" s="6" t="str">
        <x:v>At 15:25 compare current midpoint to previous day close: return &gt;=+0.5%; if realized first half-hour return positive, buy at 15:30 next bar.</x:v>
      </x:c>
      <x:c r="G16" s="6" t="str">
        <x:v>Exit at 15:55 ET; reverse and short on return &lt;=-0.5%, subject to borrow.</x:v>
      </x:c>
      <x:c r="H16" s="6" t="str">
        <x:v>Threshold 0/0.25/0.5%; gate first 30m on/off</x:v>
      </x:c>
      <x:c r="I16" s="6" t="str">
        <x:v>DAY_NOTIONAL</x:v>
      </x:c>
      <x:c r="J16" s="6" t="str">
        <x:v>Research-backed mechanism; baseline differs from paper</x:v>
      </x:c>
      <x:c r="K16" s="6" t="str"/>
      <x:c r="L16" s="6" t="str">
        <x:v>Closing auction effects</x:v>
      </x:c>
      <x:c r="M16" s="6" t="str">
        <x:v>https://www.sciencedirect.com/science/article/pii/S0304405X18301351</x:v>
      </x:c>
    </x:row>
    <x:row r="17" ht="44" customHeight="1">
      <x:c r="A17" s="6" t="str">
        <x:v>S016</x:v>
      </x:c>
      <x:c r="B17" s="6" t="str">
        <x:v>Intraday breakout / momentum</x:v>
      </x:c>
      <x:c r="C17" s="6" t="str">
        <x:v>Afternoon high-of-day breakout</x:v>
      </x:c>
      <x:c r="D17" s="6" t="str">
        <x:v>STK/ETF</x:v>
      </x:c>
      <x:c r="E17" s="6" t="str">
        <x:v>5m</x:v>
      </x:c>
      <x:c r="F17" s="6" t="str">
        <x:v>Between 13:30-15:00 close &gt;max high 09:30 through prior bar, while cumulative volume &gt;=1.3*same-time historical median.</x:v>
      </x:c>
      <x:c r="G17" s="6" t="str">
        <x:v>Stop preceding 3 completed 5m bars low; exit 15:55.</x:v>
      </x:c>
      <x:c r="H17" s="6" t="str">
        <x:v>Break buffer 0/5/10bp; rel volume 1/1.3/2</x:v>
      </x:c>
      <x:c r="I17" s="6" t="str">
        <x:v>DAY_RISK</x:v>
      </x:c>
      <x:c r="J17" s="6" t="str">
        <x:v>Hypothesis</x:v>
      </x:c>
      <x:c r="K17" s="6" t="str"/>
      <x:c r="L17" s="6" t="str"/>
      <x:c r="M17" s="6" t="str">
        <x:v>https://www.nber.org/papers/w7613</x:v>
      </x:c>
    </x:row>
    <x:row r="18" ht="44" customHeight="1">
      <x:c r="A18" s="6" t="str">
        <x:v>S017</x:v>
      </x:c>
      <x:c r="B18" s="6" t="str">
        <x:v>Intraday breakout / momentum</x:v>
      </x:c>
      <x:c r="C18" s="6" t="str">
        <x:v>First-pullback after high of day</x:v>
      </x:c>
      <x:c r="D18" s="6" t="str">
        <x:v>STK/ETF</x:v>
      </x:c>
      <x:c r="E18" s="6" t="str">
        <x:v>1m</x:v>
      </x:c>
      <x:c r="F18" s="6" t="str">
        <x:v>First break of daily high after 10:00; wait first 3-10 1m bars with &lt;0.5*impulse retracement; buy next 1m close &gt;pullback high.</x:v>
      </x:c>
      <x:c r="G18" s="6" t="str">
        <x:v>Stop pullback low; profit 1.5R or 15:55.</x:v>
      </x:c>
      <x:c r="H18" s="6" t="str">
        <x:v>Pullback bars 3/5/10; retrace 25/50%</x:v>
      </x:c>
      <x:c r="I18" s="6" t="str">
        <x:v>DAY_RISK</x:v>
      </x:c>
      <x:c r="J18" s="6" t="str">
        <x:v>Hypothesis</x:v>
      </x:c>
      <x:c r="K18" s="6" t="str"/>
      <x:c r="L18" s="6" t="str"/>
      <x:c r="M18" s="6" t="str">
        <x:v>https://www.nber.org/papers/w7613</x:v>
      </x:c>
    </x:row>
    <x:row r="19" ht="44" customHeight="1">
      <x:c r="A19" s="6" t="str">
        <x:v>S018</x:v>
      </x:c>
      <x:c r="B19" s="6" t="str">
        <x:v>Intraday breakout / momentum</x:v>
      </x:c>
      <x:c r="C19" s="6" t="str">
        <x:v>Trend day pullback 20EMA</x:v>
      </x:c>
      <x:c r="D19" s="6" t="str">
        <x:v>STK/ETF</x:v>
      </x:c>
      <x:c r="E19" s="6" t="str">
        <x:v>5m</x:v>
      </x:c>
      <x:c r="F19" s="6" t="str">
        <x:v>By 11:00 price&gt;open by 1%, &gt;VWAP; buy first 5m close above EMA20 after prior bar low &lt;=EMA20 and no daily VWAP breach since 10:00.</x:v>
      </x:c>
      <x:c r="G19" s="6" t="str">
        <x:v>Stop previous two bars low; exit on 2 consecutive closes &lt;EMA20 or 15:55.</x:v>
      </x:c>
      <x:c r="H19" s="6" t="str">
        <x:v>Daily change .5/1/1.5%; EMA 10/20/30</x:v>
      </x:c>
      <x:c r="I19" s="6" t="str">
        <x:v>DAY_RISK</x:v>
      </x:c>
      <x:c r="J19" s="6" t="str">
        <x:v>Hypothesis</x:v>
      </x:c>
      <x:c r="K19" s="6" t="str"/>
      <x:c r="L19" s="6" t="str"/>
      <x:c r="M19" s="6" t="str">
        <x:v>https://www.sciencedirect.com/science/article/pii/S0304405X18301351</x:v>
      </x:c>
    </x:row>
    <x:row r="20" ht="44" customHeight="1">
      <x:c r="A20" s="6" t="str">
        <x:v>S019</x:v>
      </x:c>
      <x:c r="B20" s="6" t="str">
        <x:v>Intraday breakout / momentum</x:v>
      </x:c>
      <x:c r="C20" s="6" t="str">
        <x:v>Intraday breakout with relative strength</x:v>
      </x:c>
      <x:c r="D20" s="6" t="str">
        <x:v>STK</x:v>
      </x:c>
      <x:c r="E20" s="6" t="str">
        <x:v>5m</x:v>
      </x:c>
      <x:c r="F20" s="6" t="str">
        <x:v>Rank RTH return minus SPY RTH return at 11:00; top 10% candidates with &gt;1% excess; buy first close above 11:00 high until 14:00.</x:v>
      </x:c>
      <x:c r="G20" s="6" t="str">
        <x:v>Stop 30m swing low; exit 15:55.</x:v>
      </x:c>
      <x:c r="H20" s="6" t="str">
        <x:v>Rank top 5/10/20%; excess 0.5/1/2%</x:v>
      </x:c>
      <x:c r="I20" s="6" t="str">
        <x:v>DAY_RISK</x:v>
      </x:c>
      <x:c r="J20" s="6" t="str">
        <x:v>Hypothesis</x:v>
      </x:c>
      <x:c r="K20" s="6" t="str"/>
      <x:c r="L20" s="6" t="str"/>
      <x:c r="M20" s="6" t="str">
        <x:v>https://doi.org/10.1111/j.1540-6261.1993.tb04702.x</x:v>
      </x:c>
    </x:row>
    <x:row r="21" ht="44" customHeight="1">
      <x:c r="A21" s="6" t="str">
        <x:v>S020</x:v>
      </x:c>
      <x:c r="B21" s="6" t="str">
        <x:v>Intraday breakout / momentum</x:v>
      </x:c>
      <x:c r="C21" s="6" t="str">
        <x:v>Intraday volume spike continuation</x:v>
      </x:c>
      <x:c r="D21" s="6" t="str">
        <x:v>STK</x:v>
      </x:c>
      <x:c r="E21" s="6" t="str">
        <x:v>1m</x:v>
      </x:c>
      <x:c r="F21" s="6" t="str">
        <x:v>After 10:00 1m volume &gt;=5*historical same minute median and 1m close &gt; prior 20m high; enter next bar.</x:v>
      </x:c>
      <x:c r="G21" s="6" t="str">
        <x:v>Stop triggering bar low or 1ATR(1m), lower; exit after 15m or 2R.</x:v>
      </x:c>
      <x:c r="H21" s="6" t="str">
        <x:v>Volume spike 3/5/10x; 10/20m highs</x:v>
      </x:c>
      <x:c r="I21" s="6" t="str">
        <x:v>DAY_RISK</x:v>
      </x:c>
      <x:c r="J21" s="6" t="str">
        <x:v>Hypothesis</x:v>
      </x:c>
      <x:c r="K21" s="6" t="str"/>
      <x:c r="L21" s="6" t="str"/>
      <x:c r="M21" s="6" t="str">
        <x:v>https://www.nber.org/papers/w7613</x:v>
      </x:c>
    </x:row>
    <x:row r="22" ht="44" customHeight="1">
      <x:c r="A22" s="6" t="str">
        <x:v>S021</x:v>
      </x:c>
      <x:c r="B22" s="6" t="str">
        <x:v>Intraday fades / reversals</x:v>
      </x:c>
      <x:c r="C22" s="6" t="str">
        <x:v>Gap fade to prior close</x:v>
      </x:c>
      <x:c r="D22" s="6" t="str">
        <x:v>STK/ETF</x:v>
      </x:c>
      <x:c r="E22" s="6" t="str">
        <x:v>5m</x:v>
      </x:c>
      <x:c r="F22" s="6" t="str">
        <x:v>At 09:35 gap &gt;=+1.5%; 5m candle closes &lt;09:30 open and RSI(14,5m)&lt;50; short next open. Mirror long on -1.5% gap.</x:v>
      </x:c>
      <x:c r="G22" s="6" t="str">
        <x:v>Target previous-day close; stop 09:30-09:34 extreme; exit 15:55 if not reached.</x:v>
      </x:c>
      <x:c r="H22" s="6" t="str">
        <x:v>Gap 1/1.5/3%; bar 5/15m</x:v>
      </x:c>
      <x:c r="I22" s="6" t="str">
        <x:v>DAY_RISK</x:v>
      </x:c>
      <x:c r="J22" s="6" t="str">
        <x:v>Hypothesis</x:v>
      </x:c>
      <x:c r="K22" s="6" t="str">
        <x:v>Shorts require locate; avoid earnings test as separate stratum</x:v>
      </x:c>
      <x:c r="L22" s="6" t="str"/>
      <x:c r="M22" s="6" t="str">
        <x:v>https://www.nber.org/papers/w7613</x:v>
      </x:c>
    </x:row>
    <x:row r="23" ht="44" customHeight="1">
      <x:c r="A23" s="6" t="str">
        <x:v>S022</x:v>
      </x:c>
      <x:c r="B23" s="6" t="str">
        <x:v>Intraday fades / reversals</x:v>
      </x:c>
      <x:c r="C23" s="6" t="str">
        <x:v>Opening range false breakout reversal</x:v>
      </x:c>
      <x:c r="D23" s="6" t="str">
        <x:v>STK/ETF</x:v>
      </x:c>
      <x:c r="E23" s="6" t="str">
        <x:v>1m</x:v>
      </x:c>
      <x:c r="F23" s="6" t="str">
        <x:v>After 15m range first 1m close &gt;OR high but within next 10 bars first close &lt;OR high; short next bar if VWAP below; mirror false break down.</x:v>
      </x:c>
      <x:c r="G23" s="6" t="str">
        <x:v>Stop false break high; target OR low; exit 15:55.</x:v>
      </x:c>
      <x:c r="H23" s="6" t="str">
        <x:v>Failure window 5/10/20 bars; VWAP filter on/off</x:v>
      </x:c>
      <x:c r="I23" s="6" t="str">
        <x:v>DAY_RISK</x:v>
      </x:c>
      <x:c r="J23" s="6" t="str">
        <x:v>Hypothesis</x:v>
      </x:c>
      <x:c r="K23" s="6" t="str"/>
      <x:c r="L23" s="6" t="str"/>
      <x:c r="M23" s="6" t="str">
        <x:v>https://www.nber.org/papers/w7613</x:v>
      </x:c>
    </x:row>
    <x:row r="24" ht="44" customHeight="1">
      <x:c r="A24" s="6" t="str">
        <x:v>S023</x:v>
      </x:c>
      <x:c r="B24" s="6" t="str">
        <x:v>Intraday fades / reversals</x:v>
      </x:c>
      <x:c r="C24" s="6" t="str">
        <x:v>VWAP sigma reversion long</x:v>
      </x:c>
      <x:c r="D24" s="6" t="str">
        <x:v>ETF</x:v>
      </x:c>
      <x:c r="E24" s="6" t="str">
        <x:v>5m</x:v>
      </x:c>
      <x:c r="F24" s="6" t="str">
        <x:v>After 10:00 z=(price-VWAP)/weighted intraday std &lt;=-2; require price&gt; SMA200 daily and 5m RSI(2)&lt;10.</x:v>
      </x:c>
      <x:c r="G24" s="6" t="str">
        <x:v>Exit on first 5m close &gt;=VWAP or after 12 bars; stop at z=-3 (next-bar stops conservative).</x:v>
      </x:c>
      <x:c r="H24" s="6" t="str">
        <x:v>z -1.5/-2/-2.5; stop -2.5/-3/-3.5</x:v>
      </x:c>
      <x:c r="I24" s="6" t="str">
        <x:v>DAY_RISK</x:v>
      </x:c>
      <x:c r="J24" s="6" t="str">
        <x:v>Hypothesis</x:v>
      </x:c>
      <x:c r="K24" s="6" t="str"/>
      <x:c r="L24" s="6" t="str"/>
      <x:c r="M24" s="6" t="str">
        <x:v>https://www.fidelity.com/learning-center/trading-investing/technical-analysis/technical-indicator-guide/bollinger-bands</x:v>
      </x:c>
    </x:row>
    <x:row r="25" ht="44" customHeight="1">
      <x:c r="A25" s="6" t="str">
        <x:v>S024</x:v>
      </x:c>
      <x:c r="B25" s="6" t="str">
        <x:v>Intraday fades / reversals</x:v>
      </x:c>
      <x:c r="C25" s="6" t="str">
        <x:v>VWAP sigma reversion short</x:v>
      </x:c>
      <x:c r="D25" s="6" t="str">
        <x:v>ETF</x:v>
      </x:c>
      <x:c r="E25" s="6" t="str">
        <x:v>5m</x:v>
      </x:c>
      <x:c r="F25" s="6" t="str">
        <x:v>After 10:00 z&gt;=+2 and daily close&lt;SMA200 or no-trend filter; 5m RSI(2)&gt;90; short next bar.</x:v>
      </x:c>
      <x:c r="G25" s="6" t="str">
        <x:v>Exit at VWAP/12 bars; stop z=+3.</x:v>
      </x:c>
      <x:c r="H25" s="6" t="str">
        <x:v>z 1.5/2/2.5; gate on/off</x:v>
      </x:c>
      <x:c r="I25" s="6" t="str">
        <x:v>DAY_RISK</x:v>
      </x:c>
      <x:c r="J25" s="6" t="str">
        <x:v>Hypothesis</x:v>
      </x:c>
      <x:c r="K25" s="6" t="str"/>
      <x:c r="L25" s="6" t="str"/>
      <x:c r="M25" s="6" t="str">
        <x:v>https://www.fidelity.com/learning-center/trading-investing/technical-analysis/technical-indicator-guide/bollinger-bands</x:v>
      </x:c>
    </x:row>
    <x:row r="26" ht="44" customHeight="1">
      <x:c r="A26" s="6" t="str">
        <x:v>S025</x:v>
      </x:c>
      <x:c r="B26" s="6" t="str">
        <x:v>Intraday fades / reversals</x:v>
      </x:c>
      <x:c r="C26" s="6" t="str">
        <x:v>First-hour oversold reversal</x:v>
      </x:c>
      <x:c r="D26" s="6" t="str">
        <x:v>ETF</x:v>
      </x:c>
      <x:c r="E26" s="6" t="str">
        <x:v>5m</x:v>
      </x:c>
      <x:c r="F26" s="6" t="str">
        <x:v>At 10:30 return from 09:30 open &lt;=-1%; buy if RSI(2,5m)&lt;5 and first 5m bar closes above previous bar high.</x:v>
      </x:c>
      <x:c r="G26" s="6" t="str">
        <x:v>Stop day low; exit VWAP or 15:55.</x:v>
      </x:c>
      <x:c r="H26" s="6" t="str">
        <x:v>Loss -0.5/-1/-1.5%; RSI 2/5/10</x:v>
      </x:c>
      <x:c r="I26" s="6" t="str">
        <x:v>DAY_RISK</x:v>
      </x:c>
      <x:c r="J26" s="6" t="str">
        <x:v>Hypothesis</x:v>
      </x:c>
      <x:c r="K26" s="6" t="str"/>
      <x:c r="L26" s="6" t="str"/>
      <x:c r="M26" s="6" t="str">
        <x:v>https://doi.org/10.2307/2937816</x:v>
      </x:c>
    </x:row>
    <x:row r="27" ht="44" customHeight="1">
      <x:c r="A27" s="6" t="str">
        <x:v>S026</x:v>
      </x:c>
      <x:c r="B27" s="6" t="str">
        <x:v>Intraday fades / reversals</x:v>
      </x:c>
      <x:c r="C27" s="6" t="str">
        <x:v>Late-day mean reversion</x:v>
      </x:c>
      <x:c r="D27" s="6" t="str">
        <x:v>ETF</x:v>
      </x:c>
      <x:c r="E27" s="6" t="str">
        <x:v>5m</x:v>
      </x:c>
      <x:c r="F27" s="6" t="str">
        <x:v>At 14:30 return from prev close &lt;=-1.25%, &gt;1.5*20d daily vol scaled to time, and price below VWAP by &gt;=1%; buy at 14:35.</x:v>
      </x:c>
      <x:c r="G27" s="6" t="str">
        <x:v>Exit at 15:55 or VWAP touch; stop below 14:30 low by .25 ATR5m.</x:v>
      </x:c>
      <x:c r="H27" s="6" t="str">
        <x:v>Threshold 0.75/1.25/2%; VWAP 0.5/1%</x:v>
      </x:c>
      <x:c r="I27" s="6" t="str">
        <x:v>DAY_RISK</x:v>
      </x:c>
      <x:c r="J27" s="6" t="str">
        <x:v>Hypothesis</x:v>
      </x:c>
      <x:c r="K27" s="6" t="str"/>
      <x:c r="L27" s="6" t="str"/>
      <x:c r="M27" s="6" t="str">
        <x:v>https://doi.org/10.2307/2937816</x:v>
      </x:c>
    </x:row>
    <x:row r="28" ht="44" customHeight="1">
      <x:c r="A28" s="6" t="str">
        <x:v>S027</x:v>
      </x:c>
      <x:c r="B28" s="6" t="str">
        <x:v>Intraday fades / reversals</x:v>
      </x:c>
      <x:c r="C28" s="6" t="str">
        <x:v>Intraday double-bottom reversal</x:v>
      </x:c>
      <x:c r="D28" s="6" t="str">
        <x:v>STK/ETF</x:v>
      </x:c>
      <x:c r="E28" s="6" t="str">
        <x:v>5m</x:v>
      </x:c>
      <x:c r="F28" s="6" t="str">
        <x:v>Between 10:00-14:00 identify two local 5m lows separated 3-12 bars with prices within 0.25% and neckline high between them; buy close above neckline.</x:v>
      </x:c>
      <x:c r="G28" s="6" t="str">
        <x:v>Stop min(two lows)-0.1ATR5m; exit 2R or 15:55.</x:v>
      </x:c>
      <x:c r="H28" s="6" t="str">
        <x:v>Tolerance 10/25/50bp; separation 3-12/5-20 bars</x:v>
      </x:c>
      <x:c r="I28" s="6" t="str">
        <x:v>DAY_RISK</x:v>
      </x:c>
      <x:c r="J28" s="6" t="str">
        <x:v>Hypothesis</x:v>
      </x:c>
      <x:c r="K28" s="6" t="str"/>
      <x:c r="L28" s="6" t="str"/>
      <x:c r="M28" s="6" t="str">
        <x:v>https://www.nber.org/papers/w7613</x:v>
      </x:c>
    </x:row>
    <x:row r="29" ht="44" customHeight="1">
      <x:c r="A29" s="6" t="str">
        <x:v>S028</x:v>
      </x:c>
      <x:c r="B29" s="6" t="str">
        <x:v>Intraday fades / reversals</x:v>
      </x:c>
      <x:c r="C29" s="6" t="str">
        <x:v>Intraday RSI exhaustion fade</x:v>
      </x:c>
      <x:c r="D29" s="6" t="str">
        <x:v>ETF</x:v>
      </x:c>
      <x:c r="E29" s="6" t="str">
        <x:v>5m</x:v>
      </x:c>
      <x:c r="F29" s="6" t="str">
        <x:v>After 10:00 5m RSI14 &gt;=80 and price&gt;=VWAP+2 intraday σ; short on first RSI crossing below 75. Mirror RSI&lt;=20 long.</x:v>
      </x:c>
      <x:c r="G29" s="6" t="str">
        <x:v>Stop day extreme; cover at VWAP or 15:55.</x:v>
      </x:c>
      <x:c r="H29" s="6" t="str">
        <x:v>RSI extreme 75/80/85; sigma 1.5/2/2.5</x:v>
      </x:c>
      <x:c r="I29" s="6" t="str">
        <x:v>DAY_RISK</x:v>
      </x:c>
      <x:c r="J29" s="6" t="str">
        <x:v>Hypothesis</x:v>
      </x:c>
      <x:c r="K29" s="6" t="str"/>
      <x:c r="L29" s="6" t="str"/>
      <x:c r="M29" s="6" t="str">
        <x:v>https://www.fidelity.com/learning-center/trading-investing/technical-analysis/technical-indicator-guide/bollinger-bands</x:v>
      </x:c>
    </x:row>
    <x:row r="30" ht="44" customHeight="1">
      <x:c r="A30" s="6" t="str">
        <x:v>S029</x:v>
      </x:c>
      <x:c r="B30" s="6" t="str">
        <x:v>Intraday fades / reversals</x:v>
      </x:c>
      <x:c r="C30" s="6" t="str">
        <x:v>Previous-close magnet</x:v>
      </x:c>
      <x:c r="D30" s="6" t="str">
        <x:v>ETF</x:v>
      </x:c>
      <x:c r="E30" s="6" t="str">
        <x:v>5m</x:v>
      </x:c>
      <x:c r="F30" s="6" t="str">
        <x:v>At 11:00 gap from previous close absolute &gt;=0.75%, price has retraced at least 25% of gap, trade toward previous close if VWAP slope supports trade.</x:v>
      </x:c>
      <x:c r="G30" s="6" t="str">
        <x:v>Target previous close; stop at 11:00 RTH extreme; exit 15:55.</x:v>
      </x:c>
      <x:c r="H30" s="6" t="str">
        <x:v>Gap 0.5/0.75/1%; retrace 25/50%</x:v>
      </x:c>
      <x:c r="I30" s="6" t="str">
        <x:v>DAY_RISK</x:v>
      </x:c>
      <x:c r="J30" s="6" t="str">
        <x:v>Hypothesis</x:v>
      </x:c>
      <x:c r="K30" s="6" t="str"/>
      <x:c r="L30" s="6" t="str"/>
      <x:c r="M30" s="6" t="str">
        <x:v>https://www.nber.org/papers/w7613</x:v>
      </x:c>
    </x:row>
    <x:row r="31" ht="44" customHeight="1">
      <x:c r="A31" s="6" t="str">
        <x:v>S030</x:v>
      </x:c>
      <x:c r="B31" s="6" t="str">
        <x:v>Intraday fades / reversals</x:v>
      </x:c>
      <x:c r="C31" s="6" t="str">
        <x:v>Intraday exhaustion spike reversal</x:v>
      </x:c>
      <x:c r="D31" s="6" t="str">
        <x:v>STK</x:v>
      </x:c>
      <x:c r="E31" s="6" t="str">
        <x:v>1m</x:v>
      </x:c>
      <x:c r="F31" s="6" t="str">
        <x:v>Completed 1m bar range&gt;=4*median of previous 60m; next 1m closes inside prior bar midpoint, fade initial spike direction.</x:v>
      </x:c>
      <x:c r="G31" s="6" t="str">
        <x:v>Stop spike extreme; target pre-spike midpoint; exit 30m later.</x:v>
      </x:c>
      <x:c r="H31" s="6" t="str">
        <x:v>Range 3/4/5x; confirm 1/2 bars</x:v>
      </x:c>
      <x:c r="I31" s="6" t="str">
        <x:v>DAY_RISK</x:v>
      </x:c>
      <x:c r="J31" s="6" t="str">
        <x:v>Hypothesis</x:v>
      </x:c>
      <x:c r="K31" s="6" t="str"/>
      <x:c r="L31" s="6" t="str">
        <x:v>Volatility halts and adverse selection</x:v>
      </x:c>
      <x:c r="M31" s="6" t="str">
        <x:v>https://www.nber.org/papers/w7613</x:v>
      </x:c>
    </x:row>
    <x:row r="32" ht="44" customHeight="1">
      <x:c r="A32" s="6" t="str">
        <x:v>S031</x:v>
      </x:c>
      <x:c r="B32" s="6" t="str">
        <x:v>Overnight / calendar / events</x:v>
      </x:c>
      <x:c r="C32" s="6" t="str">
        <x:v>Overnight close-to-next-open drift</x:v>
      </x:c>
      <x:c r="D32" s="6" t="str">
        <x:v>ETF</x:v>
      </x:c>
      <x:c r="E32" s="6" t="str">
        <x:v>1d</x:v>
      </x:c>
      <x:c r="F32" s="6" t="str">
        <x:v>At 15:45 ET if trailing 10 COMPLETED sessions close-to-close total return &gt;0, buy at first executable quote after 15:50 ET; do not use the final close.</x:v>
      </x:c>
      <x:c r="G32" s="6" t="str">
        <x:v>Sell at next RTH 09:35 ET; no overnight stop assumed; compare all-days long unconditional.</x:v>
      </x:c>
      <x:c r="H32" s="6" t="str">
        <x:v>Momentum filter 0/5/10d; 1/3/5 nights</x:v>
      </x:c>
      <x:c r="I32" s="6" t="str">
        <x:v>SWING_NOTIONAL</x:v>
      </x:c>
      <x:c r="J32" s="6" t="str">
        <x:v>Hypothesis</x:v>
      </x:c>
      <x:c r="K32" s="6" t="str"/>
      <x:c r="L32" s="6" t="str">
        <x:v>Overnight gap; cannot use same close signal to fill historic close</x:v>
      </x:c>
      <x:c r="M32" s="6" t="str">
        <x:v>https://rpc.cfainstitute.org/research/financial-analysts-journal/2008/equity-returns-at-the-turn-of-the-month</x:v>
      </x:c>
    </x:row>
    <x:row r="33" ht="44" customHeight="1">
      <x:c r="A33" s="6" t="str">
        <x:v>S032</x:v>
      </x:c>
      <x:c r="B33" s="6" t="str">
        <x:v>Overnight / calendar / events</x:v>
      </x:c>
      <x:c r="C33" s="6" t="str">
        <x:v>Overnight large-down-day reversal</x:v>
      </x:c>
      <x:c r="D33" s="6" t="str">
        <x:v>ETF</x:v>
      </x:c>
      <x:c r="E33" s="6" t="str">
        <x:v>1d</x:v>
      </x:c>
      <x:c r="F33" s="6" t="str">
        <x:v>If 15:45 same-day return relative to prior completed close &lt;=-2*20d prior-completed daily realized sigma, buy using 15:50 quote.</x:v>
      </x:c>
      <x:c r="G33" s="6" t="str">
        <x:v>Exit next day 09:35, unless next day is holiday then next RTH; hard risk cap via size only.</x:v>
      </x:c>
      <x:c r="H33" s="6" t="str">
        <x:v>Shock 1.5/2/2.5 σ; close time 15:45/15:50</x:v>
      </x:c>
      <x:c r="I33" s="6" t="str">
        <x:v>SWING_NOTIONAL</x:v>
      </x:c>
      <x:c r="J33" s="6" t="str">
        <x:v>Hypothesis</x:v>
      </x:c>
      <x:c r="K33" s="6" t="str"/>
      <x:c r="L33" s="6" t="str"/>
      <x:c r="M33" s="6" t="str">
        <x:v>https://doi.org/10.2307/2937816</x:v>
      </x:c>
    </x:row>
    <x:row r="34" ht="44" customHeight="1">
      <x:c r="A34" s="6" t="str">
        <x:v>S033</x:v>
      </x:c>
      <x:c r="B34" s="6" t="str">
        <x:v>Overnight / calendar / events</x:v>
      </x:c>
      <x:c r="C34" s="6" t="str">
        <x:v>Overnight large-up-day continuation</x:v>
      </x:c>
      <x:c r="D34" s="6" t="str">
        <x:v>ETF</x:v>
      </x:c>
      <x:c r="E34" s="6" t="str">
        <x:v>1d</x:v>
      </x:c>
      <x:c r="F34" s="6" t="str">
        <x:v>If 15:45 same-day return relative to prior close &gt;=+1.5*20d realized daily volatility computed from prior completed days and previous SPY close&gt;SMA200, buy 15:50.</x:v>
      </x:c>
      <x:c r="G34" s="6" t="str">
        <x:v>Exit next 09:35 or after 3 overnight intervals.</x:v>
      </x:c>
      <x:c r="H34" s="6" t="str">
        <x:v>Shock 1/1.5/2σ; horizons 1/3 nights</x:v>
      </x:c>
      <x:c r="I34" s="6" t="str">
        <x:v>SWING_NOTIONAL</x:v>
      </x:c>
      <x:c r="J34" s="6" t="str">
        <x:v>Hypothesis</x:v>
      </x:c>
      <x:c r="K34" s="6" t="str"/>
      <x:c r="L34" s="6" t="str"/>
      <x:c r="M34" s="6" t="str">
        <x:v>https://doi.org/10.1111/j.1540-6261.1993.tb04702.x</x:v>
      </x:c>
    </x:row>
    <x:row r="35" ht="44" customHeight="1">
      <x:c r="A35" s="6" t="str">
        <x:v>S034</x:v>
      </x:c>
      <x:c r="B35" s="6" t="str">
        <x:v>Overnight / calendar / events</x:v>
      </x:c>
      <x:c r="C35" s="6" t="str">
        <x:v>Turn-of-month market exposure</x:v>
      </x:c>
      <x:c r="D35" s="6" t="str">
        <x:v>ETF</x:v>
      </x:c>
      <x:c r="E35" s="6" t="str">
        <x:v>1d</x:v>
      </x:c>
      <x:c r="F35" s="6" t="str">
        <x:v>Buy at 15:50 on trading day immediately before the final trading day of the month (T-1).</x:v>
      </x:c>
      <x:c r="G35" s="6" t="str">
        <x:v>Sell at 09:35 on fourth trading day of new month; compare a T0-close to T+3-close variant.</x:v>
      </x:c>
      <x:c r="H35" s="6" t="str">
        <x:v>Window start -1/0; end +2/+3/+4</x:v>
      </x:c>
      <x:c r="I35" s="6" t="str">
        <x:v>SWING_NOTIONAL</x:v>
      </x:c>
      <x:c r="J35" s="6" t="str">
        <x:v>Research-backed effect; timing is baseline</x:v>
      </x:c>
      <x:c r="K35" s="6" t="str"/>
      <x:c r="L35" s="6" t="str"/>
      <x:c r="M35" s="6" t="str">
        <x:v>https://rpc.cfainstitute.org/research/financial-analysts-journal/2008/equity-returns-at-the-turn-of-the-month</x:v>
      </x:c>
    </x:row>
    <x:row r="36" ht="44" customHeight="1">
      <x:c r="A36" s="6" t="str">
        <x:v>S035</x:v>
      </x:c>
      <x:c r="B36" s="6" t="str">
        <x:v>Overnight / calendar / events</x:v>
      </x:c>
      <x:c r="C36" s="6" t="str">
        <x:v>First trading day monthly seasonality</x:v>
      </x:c>
      <x:c r="D36" s="6" t="str">
        <x:v>ETF</x:v>
      </x:c>
      <x:c r="E36" s="6" t="str">
        <x:v>1d</x:v>
      </x:c>
      <x:c r="F36" s="6" t="str">
        <x:v>Buy near close of final trading day of month (15:50).</x:v>
      </x:c>
      <x:c r="G36" s="6" t="str">
        <x:v>Sell near close of first trading day next month at 15:50.</x:v>
      </x:c>
      <x:c r="H36" s="6" t="str">
        <x:v>Horizon 1/2/3 days</x:v>
      </x:c>
      <x:c r="I36" s="6" t="str">
        <x:v>SWING_NOTIONAL</x:v>
      </x:c>
      <x:c r="J36" s="6" t="str">
        <x:v>Hypothesis</x:v>
      </x:c>
      <x:c r="K36" s="6" t="str"/>
      <x:c r="L36" s="6" t="str"/>
      <x:c r="M36" s="6" t="str">
        <x:v>https://rpc.cfainstitute.org/research/financial-analysts-journal/2008/equity-returns-at-the-turn-of-the-month</x:v>
      </x:c>
    </x:row>
    <x:row r="37" ht="44" customHeight="1">
      <x:c r="A37" s="6" t="str">
        <x:v>S036</x:v>
      </x:c>
      <x:c r="B37" s="6" t="str">
        <x:v>Overnight / calendar / events</x:v>
      </x:c>
      <x:c r="C37" s="6" t="str">
        <x:v>Monday open to Friday close</x:v>
      </x:c>
      <x:c r="D37" s="6" t="str">
        <x:v>ETF</x:v>
      </x:c>
      <x:c r="E37" s="6" t="str">
        <x:v>1d</x:v>
      </x:c>
      <x:c r="F37" s="6" t="str">
        <x:v>At first Monday RTH 09:35 buy only if previous Friday SPY close&gt;SMA200.</x:v>
      </x:c>
      <x:c r="G37" s="6" t="str">
        <x:v>Sell Friday 15:50 or final trading day that week; hold through week.</x:v>
      </x:c>
      <x:c r="H37" s="6" t="str">
        <x:v>Trend gate on/off; start Mon/Tue; exit Thu/Fri</x:v>
      </x:c>
      <x:c r="I37" s="6" t="str">
        <x:v>SWING_NOTIONAL</x:v>
      </x:c>
      <x:c r="J37" s="6" t="str">
        <x:v>Hypothesis</x:v>
      </x:c>
      <x:c r="K37" s="6" t="str"/>
      <x:c r="L37" s="6" t="str"/>
      <x:c r="M37" s="6" t="str">
        <x:v>https://rpc.cfainstitute.org/research/financial-analysts-journal/2008/equity-returns-at-the-turn-of-the-month</x:v>
      </x:c>
    </x:row>
    <x:row r="38" ht="44" customHeight="1">
      <x:c r="A38" s="6" t="str">
        <x:v>S037</x:v>
      </x:c>
      <x:c r="B38" s="6" t="str">
        <x:v>Overnight / calendar / events</x:v>
      </x:c>
      <x:c r="C38" s="6" t="str">
        <x:v>Preholiday drift</x:v>
      </x:c>
      <x:c r="D38" s="6" t="str">
        <x:v>ETF</x:v>
      </x:c>
      <x:c r="E38" s="6" t="str">
        <x:v>1d</x:v>
      </x:c>
      <x:c r="F38" s="6" t="str">
        <x:v>Buy 15:50 on trading day two business sessions before a full exchange holiday.</x:v>
      </x:c>
      <x:c r="G38" s="6" t="str">
        <x:v>Sell 15:50 on the day immediately preceding holiday.</x:v>
      </x:c>
      <x:c r="H38" s="6" t="str">
        <x:v>Entry 1/2/3 days before; exit before/after holiday</x:v>
      </x:c>
      <x:c r="I38" s="6" t="str">
        <x:v>SWING_NOTIONAL</x:v>
      </x:c>
      <x:c r="J38" s="6" t="str">
        <x:v>Hypothesis</x:v>
      </x:c>
      <x:c r="K38" s="6" t="str"/>
      <x:c r="L38" s="6" t="str"/>
      <x:c r="M38" s="6" t="str">
        <x:v>https://rpc.cfainstitute.org/research/financial-analysts-journal/2008/equity-returns-at-the-turn-of-the-month</x:v>
      </x:c>
    </x:row>
    <x:row r="39" ht="44" customHeight="1">
      <x:c r="A39" s="6" t="str">
        <x:v>S038</x:v>
      </x:c>
      <x:c r="B39" s="6" t="str">
        <x:v>Overnight / calendar / events</x:v>
      </x:c>
      <x:c r="C39" s="6" t="str">
        <x:v>Post-earnings announcement drift SUE</x:v>
      </x:c>
      <x:c r="D39" s="6" t="str">
        <x:v>STK</x:v>
      </x:c>
      <x:c r="E39" s="6" t="str">
        <x:v>1d</x:v>
      </x:c>
      <x:c r="F39" s="6" t="str">
        <x:v>After public earnings timestamp, compute surprise=(reported quarterly EPS - consensus EPS frozen before release)/cross-sectional surprise σ; go long top decile surprise, short bottom decile; enter first RTH open &gt;=15m after disseminated release.</x:v>
      </x:c>
      <x:c r="G39" s="6" t="str">
        <x:v>Exit after 20 trading sessions or opposite next earnings release; no overlapping same stock.</x:v>
      </x:c>
      <x:c r="H39" s="6" t="str">
        <x:v>Decile 5/10/20%; hold 5/20/60 days</x:v>
      </x:c>
      <x:c r="I39" s="6" t="str">
        <x:v>CROSS_SECTION</x:v>
      </x:c>
      <x:c r="J39" s="6" t="str">
        <x:v>Research-backed mechanism; SUE measure variant</x:v>
      </x:c>
      <x:c r="K39" s="6" t="str">
        <x:v>Point-in-time consensus revisions and exact release time</x:v>
      </x:c>
      <x:c r="L39" s="6" t="str"/>
      <x:c r="M39" s="6" t="str">
        <x:v>https://doi.org/10.1016/j.jbef.2020.100446</x:v>
      </x:c>
    </x:row>
    <x:row r="40" ht="44" customHeight="1">
      <x:c r="A40" s="6" t="str">
        <x:v>S039</x:v>
      </x:c>
      <x:c r="B40" s="6" t="str">
        <x:v>Overnight / calendar / events</x:v>
      </x:c>
      <x:c r="C40" s="6" t="str">
        <x:v>Post-earnings gap continuation</x:v>
      </x:c>
      <x:c r="D40" s="6" t="str">
        <x:v>STK</x:v>
      </x:c>
      <x:c r="E40" s="6" t="str">
        <x:v>5m</x:v>
      </x:c>
      <x:c r="F40" s="6" t="str">
        <x:v>First RTH day after report: open gap&gt;=+3% and first 30m close above open; buy 10:05 next bar with RVOL &gt;=2.</x:v>
      </x:c>
      <x:c r="G40" s="6" t="str">
        <x:v>Exit after 3 sessions or 2 ATR14 trailing close stop.</x:v>
      </x:c>
      <x:c r="H40" s="6" t="str">
        <x:v>Gap 2/3/5%; hold 1/3/5d</x:v>
      </x:c>
      <x:c r="I40" s="6" t="str">
        <x:v>SWING_RISK</x:v>
      </x:c>
      <x:c r="J40" s="6" t="str">
        <x:v>Hypothesis</x:v>
      </x:c>
      <x:c r="K40" s="6" t="str"/>
      <x:c r="L40" s="6" t="str"/>
      <x:c r="M40" s="6" t="str">
        <x:v>https://doi.org/10.1016/j.jbef.2020.100446</x:v>
      </x:c>
    </x:row>
    <x:row r="41" ht="44" customHeight="1">
      <x:c r="A41" s="6" t="str">
        <x:v>S040</x:v>
      </x:c>
      <x:c r="B41" s="6" t="str">
        <x:v>Overnight / calendar / events</x:v>
      </x:c>
      <x:c r="C41" s="6" t="str">
        <x:v>Post-earnings gap fade</x:v>
      </x:c>
      <x:c r="D41" s="6" t="str">
        <x:v>STK</x:v>
      </x:c>
      <x:c r="E41" s="6" t="str">
        <x:v>5m</x:v>
      </x:c>
      <x:c r="F41" s="6" t="str">
        <x:v>First RTH day after report: open gap &gt;=+6%; first 30m close below open and below VWAP; short 10:05, if locate.</x:v>
      </x:c>
      <x:c r="G41" s="6" t="str">
        <x:v>Target midpoint between open and previous close; stop opening high; exit 15:55.</x:v>
      </x:c>
      <x:c r="H41" s="6" t="str">
        <x:v>Gap 4/6/10%; target gap 25/50/100%</x:v>
      </x:c>
      <x:c r="I41" s="6" t="str">
        <x:v>DAY_RISK</x:v>
      </x:c>
      <x:c r="J41" s="6" t="str">
        <x:v>Hypothesis</x:v>
      </x:c>
      <x:c r="K41" s="6" t="str"/>
      <x:c r="L41" s="6" t="str"/>
      <x:c r="M41" s="6" t="str">
        <x:v>https://doi.org/10.1016/j.jbef.2020.100446</x:v>
      </x:c>
    </x:row>
    <x:row r="42" ht="44" customHeight="1">
      <x:c r="A42" s="6" t="str">
        <x:v>S041</x:v>
      </x:c>
      <x:c r="B42" s="6" t="str">
        <x:v>Overnight / calendar / events</x:v>
      </x:c>
      <x:c r="C42" s="6" t="str">
        <x:v>Analyst earnings revision drift</x:v>
      </x:c>
      <x:c r="D42" s="6" t="str">
        <x:v>STK</x:v>
      </x:c>
      <x:c r="E42" s="6" t="str">
        <x:v>1d</x:v>
      </x:c>
      <x:c r="F42" s="6" t="str">
        <x:v>At month-end rank change in consensus next-12m EPS last 30 calendar days, require &gt;=5 analysts; long top decile, short bottom decile next RTH open.</x:v>
      </x:c>
      <x:c r="G42" s="6" t="str">
        <x:v>Rebalance monthly; close if rank leaves top/bottom quintile.</x:v>
      </x:c>
      <x:c r="H42" s="6" t="str">
        <x:v>Revision window 30/60d; buckets 10/20%; analyst minimum 3/5</x:v>
      </x:c>
      <x:c r="I42" s="6" t="str">
        <x:v>CROSS_SECTION</x:v>
      </x:c>
      <x:c r="J42" s="6" t="str">
        <x:v>Hypothesis</x:v>
      </x:c>
      <x:c r="K42" s="6" t="str">
        <x:v>Point-in-time forecast database</x:v>
      </x:c>
      <x:c r="L42" s="6" t="str"/>
      <x:c r="M42" s="6" t="str">
        <x:v>https://doi.org/10.1016/j.jbef.2020.100446</x:v>
      </x:c>
    </x:row>
    <x:row r="43" ht="44" customHeight="1">
      <x:c r="A43" s="6" t="str">
        <x:v>S042</x:v>
      </x:c>
      <x:c r="B43" s="6" t="str">
        <x:v>Overnight / calendar / events</x:v>
      </x:c>
      <x:c r="C43" s="6" t="str">
        <x:v>Scheduled dividend ex-date gap test</x:v>
      </x:c>
      <x:c r="D43" s="6" t="str">
        <x:v>ETF/STK</x:v>
      </x:c>
      <x:c r="E43" s="6" t="str">
        <x:v>1d</x:v>
      </x:c>
      <x:c r="F43" s="6" t="str">
        <x:v>Buy at 15:50 one trading day before known ex-dividend date, with next announced cash dividend recorded point-in-time.</x:v>
      </x:c>
      <x:c r="G43" s="6" t="str">
        <x:v>Sell next 09:35 ex-date; include dividend entitlement and ex-price adjustment, tax and withholding if applicable.</x:v>
      </x:c>
      <x:c r="H43" s="6" t="str">
        <x:v>High vs low yield splits; window 1/2d</x:v>
      </x:c>
      <x:c r="I43" s="6" t="str">
        <x:v>SWING_NOTIONAL</x:v>
      </x:c>
      <x:c r="J43" s="6" t="str">
        <x:v>Hypothesis</x:v>
      </x:c>
      <x:c r="K43" s="6" t="str"/>
      <x:c r="L43" s="6" t="str">
        <x:v>Gross price gaps are not profit without dividends</x:v>
      </x:c>
      <x:c r="M43" s="6" t="str">
        <x:v>https://rpc.cfainstitute.org/research/financial-analysts-journal/2008/equity-returns-at-the-turn-of-the-month</x:v>
      </x:c>
    </x:row>
    <x:row r="44" ht="44" customHeight="1">
      <x:c r="A44" s="6" t="str">
        <x:v>S043</x:v>
      </x:c>
      <x:c r="B44" s="6" t="str">
        <x:v>Overnight / calendar / events</x:v>
      </x:c>
      <x:c r="C44" s="6" t="str">
        <x:v>Index addition announcement drift</x:v>
      </x:c>
      <x:c r="D44" s="6" t="str">
        <x:v>STK</x:v>
      </x:c>
      <x:c r="E44" s="6" t="str">
        <x:v>1d</x:v>
      </x:c>
      <x:c r="F44" s="6" t="str">
        <x:v>Following timestamped public index addition announcement, buy first next RTH open if announcement is after-hours, or next 5m open if during RTH.</x:v>
      </x:c>
      <x:c r="G44" s="6" t="str">
        <x:v>Exit at index effective date 15:50; net return vs beta hedge SPY.</x:v>
      </x:c>
      <x:c r="H44" s="6" t="str">
        <x:v>Announcement+1min/next day; effective+0/1</x:v>
      </x:c>
      <x:c r="I44" s="6" t="str">
        <x:v>SWING_NOTIONAL</x:v>
      </x:c>
      <x:c r="J44" s="6" t="str">
        <x:v>Hypothesis</x:v>
      </x:c>
      <x:c r="K44" s="6" t="str">
        <x:v>Historical announcement archive, not current index memberships</x:v>
      </x:c>
      <x:c r="L44" s="6" t="str"/>
      <x:c r="M44" s="6" t="str">
        <x:v>https://www.nber.org/papers/w7613</x:v>
      </x:c>
    </x:row>
    <x:row r="45" ht="44" customHeight="1">
      <x:c r="A45" s="6" t="str">
        <x:v>S044</x:v>
      </x:c>
      <x:c r="B45" s="6" t="str">
        <x:v>Overnight / calendar / events</x:v>
      </x:c>
      <x:c r="C45" s="6" t="str">
        <x:v>Index deletion event short</x:v>
      </x:c>
      <x:c r="D45" s="6" t="str">
        <x:v>STK</x:v>
      </x:c>
      <x:c r="E45" s="6" t="str">
        <x:v>1d</x:v>
      </x:c>
      <x:c r="F45" s="6" t="str">
        <x:v>Following timestamped index deletion announcement, short at next RTH open only if borrow available and no SSR restriction.</x:v>
      </x:c>
      <x:c r="G45" s="6" t="str">
        <x:v>Cover effective date 15:50, or if stop 2ATR above initial mid.</x:v>
      </x:c>
      <x:c r="H45" s="6" t="str">
        <x:v>Event window 1/5/10d; cap borrow annualized 5/20/50%</x:v>
      </x:c>
      <x:c r="I45" s="6" t="str">
        <x:v>SWING_RISK</x:v>
      </x:c>
      <x:c r="J45" s="6" t="str">
        <x:v>Hypothesis</x:v>
      </x:c>
      <x:c r="K45" s="6" t="str">
        <x:v>Historical borrow pricing and index changes</x:v>
      </x:c>
      <x:c r="L45" s="6" t="str"/>
      <x:c r="M45" s="6" t="str">
        <x:v>https://www.nber.org/papers/w7613</x:v>
      </x:c>
    </x:row>
    <x:row r="46" ht="44" customHeight="1">
      <x:c r="A46" s="6" t="str">
        <x:v>S045</x:v>
      </x:c>
      <x:c r="B46" s="6" t="str">
        <x:v>Overnight / calendar / events</x:v>
      </x:c>
      <x:c r="C46" s="6" t="str">
        <x:v>Buyback announcement continuation</x:v>
      </x:c>
      <x:c r="D46" s="6" t="str">
        <x:v>STK</x:v>
      </x:c>
      <x:c r="E46" s="6" t="str">
        <x:v>1d</x:v>
      </x:c>
      <x:c r="F46" s="6" t="str">
        <x:v>Publicly announced repurchase authorization &gt;=5% of market cap, exclude releases bundled with earnings, buy first next RTH open.</x:v>
      </x:c>
      <x:c r="G46" s="6" t="str">
        <x:v>Exit after 10 trading sessions or 2ATR trailing stop.</x:v>
      </x:c>
      <x:c r="H46" s="6" t="str">
        <x:v>Size 3/5/10%; hold 5/10/20d</x:v>
      </x:c>
      <x:c r="I46" s="6" t="str">
        <x:v>SWING_RISK</x:v>
      </x:c>
      <x:c r="J46" s="6" t="str">
        <x:v>Hypothesis</x:v>
      </x:c>
      <x:c r="K46" s="6" t="str">
        <x:v>Accurate timestamped filings/news; corporate actions</x:v>
      </x:c>
      <x:c r="L46" s="6" t="str"/>
      <x:c r="M46" s="6" t="str">
        <x:v>https://www.nber.org/papers/w7613</x:v>
      </x:c>
    </x:row>
    <x:row r="47" ht="44" customHeight="1">
      <x:c r="A47" s="6" t="str">
        <x:v>S046</x:v>
      </x:c>
      <x:c r="B47" s="6" t="str">
        <x:v>Swing trend / breakouts</x:v>
      </x:c>
      <x:c r="C47" s="6" t="str">
        <x:v>20-day Donchian breakout</x:v>
      </x:c>
      <x:c r="D47" s="6" t="str">
        <x:v>STK/ETF</x:v>
      </x:c>
      <x:c r="E47" s="6" t="str">
        <x:v>1d</x:v>
      </x:c>
      <x:c r="F47" s="6" t="str">
        <x:v>At close C_t&gt;max(H_{t-20:t-1}); long next day open; shorts mirror below prior 20d low.</x:v>
      </x:c>
      <x:c r="G47" s="6" t="str">
        <x:v>Stop 2*ATR20 from fill, execute on next available trade/gap; exit on close below prior 10d low next open.</x:v>
      </x:c>
      <x:c r="H47" s="6" t="str">
        <x:v>Entry 20/40/55d; exit 10/20d; stop 1.5/2/3 ATR</x:v>
      </x:c>
      <x:c r="I47" s="6" t="str">
        <x:v>SWING_RISK</x:v>
      </x:c>
      <x:c r="J47" s="6" t="str">
        <x:v>Established rule-system variant</x:v>
      </x:c>
      <x:c r="K47" s="6" t="str"/>
      <x:c r="L47" s="6" t="str"/>
      <x:c r="M47" s="6" t="str">
        <x:v>https://doi.org/10.1016/j.jfineco.2011.11.003</x:v>
      </x:c>
    </x:row>
    <x:row r="48" ht="44" customHeight="1">
      <x:c r="A48" s="6" t="str">
        <x:v>S047</x:v>
      </x:c>
      <x:c r="B48" s="6" t="str">
        <x:v>Swing trend / breakouts</x:v>
      </x:c>
      <x:c r="C48" s="6" t="str">
        <x:v>55-day Turtle-style breakout</x:v>
      </x:c>
      <x:c r="D48" s="6" t="str">
        <x:v>STK/ETF</x:v>
      </x:c>
      <x:c r="E48" s="6" t="str">
        <x:v>1d</x:v>
      </x:c>
      <x:c r="F48" s="6" t="str">
        <x:v>At close above prior 55d high, buy next open (short mirror); choose no-skip variant explicitly.</x:v>
      </x:c>
      <x:c r="G48" s="6" t="str">
        <x:v>Trailing stop 2*ATR20; exit after close below prior 20d low next open.</x:v>
      </x:c>
      <x:c r="H48" s="6" t="str">
        <x:v>55/60 day entry; 20/25 day exit; pyramid 0/1/2 adds</x:v>
      </x:c>
      <x:c r="I48" s="6" t="str">
        <x:v>SWING_RISK</x:v>
      </x:c>
      <x:c r="J48" s="6" t="str">
        <x:v>Established rule-system variant</x:v>
      </x:c>
      <x:c r="K48" s="6" t="str"/>
      <x:c r="L48" s="6" t="str"/>
      <x:c r="M48" s="6" t="str">
        <x:v>https://doi.org/10.1016/j.jfineco.2011.11.003</x:v>
      </x:c>
    </x:row>
    <x:row r="49" ht="44" customHeight="1">
      <x:c r="A49" s="6" t="str">
        <x:v>S048</x:v>
      </x:c>
      <x:c r="B49" s="6" t="str">
        <x:v>Swing trend / breakouts</x:v>
      </x:c>
      <x:c r="C49" s="6" t="str">
        <x:v>Turtle 20-day with skip filter</x:v>
      </x:c>
      <x:c r="D49" s="6" t="str">
        <x:v>STK/ETF</x:v>
      </x:c>
      <x:c r="E49" s="6" t="str">
        <x:v>1d</x:v>
      </x:c>
      <x:c r="F49" s="6" t="str">
        <x:v>Long close &gt; previous 20d high only if the prior same-instrument completed S1 breakout would not have won by system exit test; enter next open.</x:v>
      </x:c>
      <x:c r="G49" s="6" t="str">
        <x:v>10d opposite channel or 2*Wilder ATR20, first; no pyramids in baseline.</x:v>
      </x:c>
      <x:c r="H49" s="6" t="str">
        <x:v>Skip rule on/off; entry 20/55; add threshold 0.5ATR</x:v>
      </x:c>
      <x:c r="I49" s="6" t="str">
        <x:v>SWING_RISK</x:v>
      </x:c>
      <x:c r="J49" s="6" t="str">
        <x:v>Historically inspired, simplified</x:v>
      </x:c>
      <x:c r="K49" s="6" t="str"/>
      <x:c r="L49" s="6" t="str"/>
      <x:c r="M49" s="6" t="str">
        <x:v>https://doi.org/10.1016/j.jfineco.2011.11.003</x:v>
      </x:c>
    </x:row>
    <x:row r="50" ht="44" customHeight="1">
      <x:c r="A50" s="6" t="str">
        <x:v>S049</x:v>
      </x:c>
      <x:c r="B50" s="6" t="str">
        <x:v>Swing trend / breakouts</x:v>
      </x:c>
      <x:c r="C50" s="6" t="str">
        <x:v>SMA 20/50 bullish crossover</x:v>
      </x:c>
      <x:c r="D50" s="6" t="str">
        <x:v>STK/ETF</x:v>
      </x:c>
      <x:c r="E50" s="6" t="str">
        <x:v>1d</x:v>
      </x:c>
      <x:c r="F50" s="6" t="str">
        <x:v>At end of day SMA20 crosses above SMA50; buy next open, require close&gt;SMA200.</x:v>
      </x:c>
      <x:c r="G50" s="6" t="str">
        <x:v>Exit on 20 below 50 crossover or 2.5ATR trailing stop next fill.</x:v>
      </x:c>
      <x:c r="H50" s="6" t="str">
        <x:v>Fast 10/20/30; slow 50/100; filter 200 on/off</x:v>
      </x:c>
      <x:c r="I50" s="6" t="str">
        <x:v>SWING_NOTIONAL</x:v>
      </x:c>
      <x:c r="J50" s="6" t="str">
        <x:v>Hypothesis</x:v>
      </x:c>
      <x:c r="K50" s="6" t="str"/>
      <x:c r="L50" s="6" t="str"/>
      <x:c r="M50" s="6" t="str">
        <x:v>https://www.nber.org/papers/w7613</x:v>
      </x:c>
    </x:row>
    <x:row r="51" ht="44" customHeight="1">
      <x:c r="A51" s="6" t="str">
        <x:v>S050</x:v>
      </x:c>
      <x:c r="B51" s="6" t="str">
        <x:v>Swing trend / breakouts</x:v>
      </x:c>
      <x:c r="C51" s="6" t="str">
        <x:v>Golden cross 50/200</x:v>
      </x:c>
      <x:c r="D51" s="6" t="str">
        <x:v>STK/ETF</x:v>
      </x:c>
      <x:c r="E51" s="6" t="str">
        <x:v>1d</x:v>
      </x:c>
      <x:c r="F51" s="6" t="str">
        <x:v>SMA50_{t-1}&lt;=SMA200_{t-1} and SMA50_t&gt;SMA200_t; buy next open.</x:v>
      </x:c>
      <x:c r="G51" s="6" t="str">
        <x:v>Exit on death cross, no price stop by default; include cash interest.</x:v>
      </x:c>
      <x:c r="H51" s="6" t="str">
        <x:v>Fast 40/50/60; slow 150/200/250</x:v>
      </x:c>
      <x:c r="I51" s="6" t="str">
        <x:v>SWING_NOTIONAL</x:v>
      </x:c>
      <x:c r="J51" s="6" t="str">
        <x:v>Hypothesis</x:v>
      </x:c>
      <x:c r="K51" s="6" t="str"/>
      <x:c r="L51" s="6" t="str"/>
      <x:c r="M51" s="6" t="str">
        <x:v>https://www.nber.org/papers/w7613</x:v>
      </x:c>
    </x:row>
    <x:row r="52" ht="44" customHeight="1">
      <x:c r="A52" s="6" t="str">
        <x:v>S051</x:v>
      </x:c>
      <x:c r="B52" s="6" t="str">
        <x:v>Swing trend / breakouts</x:v>
      </x:c>
      <x:c r="C52" s="6" t="str">
        <x:v>EMA 9/21 pullback trend</x:v>
      </x:c>
      <x:c r="D52" s="6" t="str">
        <x:v>STK/ETF</x:v>
      </x:c>
      <x:c r="E52" s="6" t="str">
        <x:v>1d</x:v>
      </x:c>
      <x:c r="F52" s="6" t="str">
        <x:v>Close&gt;EMA21&gt;EMA50, prior day low&lt;=EMA9 and current close&gt;prior high; buy next open.</x:v>
      </x:c>
      <x:c r="G52" s="6" t="str">
        <x:v>Stop beneath last 5-day low, exit close&lt;EMA21.</x:v>
      </x:c>
      <x:c r="H52" s="6" t="str">
        <x:v>EMA fast 8/9/10; medium 20/21; exit 20/21</x:v>
      </x:c>
      <x:c r="I52" s="6" t="str">
        <x:v>SWING_RISK</x:v>
      </x:c>
      <x:c r="J52" s="6" t="str">
        <x:v>Hypothesis</x:v>
      </x:c>
      <x:c r="K52" s="6" t="str"/>
      <x:c r="L52" s="6" t="str"/>
      <x:c r="M52" s="6" t="str">
        <x:v>https://www.nber.org/papers/w7613</x:v>
      </x:c>
    </x:row>
    <x:row r="53" ht="44" customHeight="1">
      <x:c r="A53" s="6" t="str">
        <x:v>S052</x:v>
      </x:c>
      <x:c r="B53" s="6" t="str">
        <x:v>Swing trend / breakouts</x:v>
      </x:c>
      <x:c r="C53" s="6" t="str">
        <x:v>MACD zero-line crossover</x:v>
      </x:c>
      <x:c r="D53" s="6" t="str">
        <x:v>STK/ETF</x:v>
      </x:c>
      <x:c r="E53" s="6" t="str">
        <x:v>1d</x:v>
      </x:c>
      <x:c r="F53" s="6" t="str">
        <x:v>MACD=EMA12-EMA26; histogram crosses positive and MACD&gt;0 and C&gt;SMA200; buy next open.</x:v>
      </x:c>
      <x:c r="G53" s="6" t="str">
        <x:v>Exit histogram crosses negative or 2ATR trailing stop.</x:v>
      </x:c>
      <x:c r="H53" s="6" t="str">
        <x:v>fast 8/12/16; slow 21/26/35; signal 5/9/12</x:v>
      </x:c>
      <x:c r="I53" s="6" t="str">
        <x:v>SWING_RISK</x:v>
      </x:c>
      <x:c r="J53" s="6" t="str">
        <x:v>Hypothesis</x:v>
      </x:c>
      <x:c r="K53" s="6" t="str"/>
      <x:c r="L53" s="6" t="str"/>
      <x:c r="M53" s="6" t="str">
        <x:v>https://www.nber.org/papers/w7613</x:v>
      </x:c>
    </x:row>
    <x:row r="54" ht="44" customHeight="1">
      <x:c r="A54" s="6" t="str">
        <x:v>S053</x:v>
      </x:c>
      <x:c r="B54" s="6" t="str">
        <x:v>Swing trend / breakouts</x:v>
      </x:c>
      <x:c r="C54" s="6" t="str">
        <x:v>ADX-confirmed directional breakout</x:v>
      </x:c>
      <x:c r="D54" s="6" t="str">
        <x:v>STK/ETF</x:v>
      </x:c>
      <x:c r="E54" s="6" t="str">
        <x:v>1d</x:v>
      </x:c>
      <x:c r="F54" s="6" t="str">
        <x:v>C&gt;highest prior 20d high; ADX14&gt;25; +DI14&gt;-DI14; buy next open.</x:v>
      </x:c>
      <x:c r="G54" s="6" t="str">
        <x:v>Exit C&lt;EMA20 or trailing 2ATR14 stop.</x:v>
      </x:c>
      <x:c r="H54" s="6" t="str">
        <x:v>ADX 20/25/30; channel 20/40/55</x:v>
      </x:c>
      <x:c r="I54" s="6" t="str">
        <x:v>SWING_RISK</x:v>
      </x:c>
      <x:c r="J54" s="6" t="str">
        <x:v>Hypothesis</x:v>
      </x:c>
      <x:c r="K54" s="6" t="str"/>
      <x:c r="L54" s="6" t="str"/>
      <x:c r="M54" s="6" t="str">
        <x:v>https://www.nber.org/papers/w7613</x:v>
      </x:c>
    </x:row>
    <x:row r="55" ht="44" customHeight="1">
      <x:c r="A55" s="6" t="str">
        <x:v>S054</x:v>
      </x:c>
      <x:c r="B55" s="6" t="str">
        <x:v>Swing trend / breakouts</x:v>
      </x:c>
      <x:c r="C55" s="6" t="str">
        <x:v>52-week high proximity momentum</x:v>
      </x:c>
      <x:c r="D55" s="6" t="str">
        <x:v>STK</x:v>
      </x:c>
      <x:c r="E55" s="6" t="str">
        <x:v>1d</x:v>
      </x:c>
      <x:c r="F55" s="6" t="str">
        <x:v>At month-end rank C/max(H last 252 days); long top decile ratio; short bottom decile; rebalance next open.</x:v>
      </x:c>
      <x:c r="G55" s="6" t="str">
        <x:v>Hold one month; close if moves out of quintile at rebalance.</x:v>
      </x:c>
      <x:c r="H55" s="6" t="str">
        <x:v>high 126/252d; rank top 10/20%; lag 1/5 days</x:v>
      </x:c>
      <x:c r="I55" s="6" t="str">
        <x:v>CROSS_SECTION</x:v>
      </x:c>
      <x:c r="J55" s="6" t="str">
        <x:v>Research-backed factor; thresholds baseline</x:v>
      </x:c>
      <x:c r="K55" s="6" t="str"/>
      <x:c r="L55" s="6" t="str"/>
      <x:c r="M55" s="6" t="str">
        <x:v>https://onlinelibrary.wiley.com/doi/10.1111/j.1540-6261.2004.00695.x</x:v>
      </x:c>
    </x:row>
    <x:row r="56" ht="44" customHeight="1">
      <x:c r="A56" s="6" t="str">
        <x:v>S055</x:v>
      </x:c>
      <x:c r="B56" s="6" t="str">
        <x:v>Swing trend / breakouts</x:v>
      </x:c>
      <x:c r="C56" s="6" t="str">
        <x:v>New all-time-high breakout</x:v>
      </x:c>
      <x:c r="D56" s="6" t="str">
        <x:v>STK</x:v>
      </x:c>
      <x:c r="E56" s="6" t="str">
        <x:v>1d</x:v>
      </x:c>
      <x:c r="F56" s="6" t="str">
        <x:v>C_t&gt;max(all prior split-adjusted H since IPO, minimum 252 bars); 20d dollar volume &gt;=$20m; enter next open.</x:v>
      </x:c>
      <x:c r="G56" s="6" t="str">
        <x:v>Exit close&lt;lowest prior 20d low; 3ATR stop.</x:v>
      </x:c>
      <x:c r="H56" s="6" t="str">
        <x:v>History &gt;=126/252; exit 10/20/40</x:v>
      </x:c>
      <x:c r="I56" s="6" t="str">
        <x:v>SWING_RISK</x:v>
      </x:c>
      <x:c r="J56" s="6" t="str">
        <x:v>Hypothesis</x:v>
      </x:c>
      <x:c r="K56" s="6" t="str"/>
      <x:c r="L56" s="6" t="str"/>
      <x:c r="M56" s="6" t="str">
        <x:v>https://onlinelibrary.wiley.com/doi/10.1111/j.1540-6261.2004.00695.x</x:v>
      </x:c>
    </x:row>
    <x:row r="57" ht="44" customHeight="1">
      <x:c r="A57" s="6" t="str">
        <x:v>S056</x:v>
      </x:c>
      <x:c r="B57" s="6" t="str">
        <x:v>Swing trend / breakouts</x:v>
      </x:c>
      <x:c r="C57" s="6" t="str">
        <x:v>Bollinger squeeze breakout</x:v>
      </x:c>
      <x:c r="D57" s="6" t="str">
        <x:v>STK/ETF</x:v>
      </x:c>
      <x:c r="E57" s="6" t="str">
        <x:v>1d</x:v>
      </x:c>
      <x:c r="F57" s="6" t="str">
        <x:v>Bandwidth=(BBupper-BBlower)/SMA20 is in bottom 10% of previous 252 values; buy if close crosses above upper BB(20,2) following squeeze.</x:v>
      </x:c>
      <x:c r="G57" s="6" t="str">
        <x:v>Exit close below SMA20 or 2ATR trailing stop.</x:v>
      </x:c>
      <x:c r="H57" s="6" t="str">
        <x:v>Bandwidth pct 5/10/20; BB 20, 1.5/2/2.5</x:v>
      </x:c>
      <x:c r="I57" s="6" t="str">
        <x:v>SWING_RISK</x:v>
      </x:c>
      <x:c r="J57" s="6" t="str">
        <x:v>Hypothesis</x:v>
      </x:c>
      <x:c r="K57" s="6" t="str"/>
      <x:c r="L57" s="6" t="str"/>
      <x:c r="M57" s="6" t="str">
        <x:v>https://www.fidelity.com/learning-center/trading-investing/technical-analysis/technical-indicator-guide/bollinger-bands</x:v>
      </x:c>
    </x:row>
    <x:row r="58" ht="44" customHeight="1">
      <x:c r="A58" s="6" t="str">
        <x:v>S057</x:v>
      </x:c>
      <x:c r="B58" s="6" t="str">
        <x:v>Swing trend / breakouts</x:v>
      </x:c>
      <x:c r="C58" s="6" t="str">
        <x:v>Keltner/Bollinger squeeze release</x:v>
      </x:c>
      <x:c r="D58" s="6" t="str">
        <x:v>STK/ETF</x:v>
      </x:c>
      <x:c r="E58" s="6" t="str">
        <x:v>1d</x:v>
      </x:c>
      <x:c r="F58" s="6" t="str">
        <x:v>BB(20,2) sits fully inside Keltner(EMA20 +/-1.5ATR20) previous day, and today C &gt; BB upper on release.</x:v>
      </x:c>
      <x:c r="G58" s="6" t="str">
        <x:v>Exit close &lt;EMA20 or 3ATR stop.</x:v>
      </x:c>
      <x:c r="H58" s="6" t="str">
        <x:v>KC ATR multiple 1/1.5/2; BB sigma 1.5/2</x:v>
      </x:c>
      <x:c r="I58" s="6" t="str">
        <x:v>SWING_RISK</x:v>
      </x:c>
      <x:c r="J58" s="6" t="str">
        <x:v>Hypothesis</x:v>
      </x:c>
      <x:c r="K58" s="6" t="str"/>
      <x:c r="L58" s="6" t="str"/>
      <x:c r="M58" s="6" t="str">
        <x:v>https://www.fidelity.com/learning-center/trading-investing/technical-analysis/technical-indicator-guide/bollinger-bands</x:v>
      </x:c>
    </x:row>
    <x:row r="59" ht="44" customHeight="1">
      <x:c r="A59" s="6" t="str">
        <x:v>S058</x:v>
      </x:c>
      <x:c r="B59" s="6" t="str">
        <x:v>Swing trend / breakouts</x:v>
      </x:c>
      <x:c r="C59" s="6" t="str">
        <x:v>NR7 daily breakout</x:v>
      </x:c>
      <x:c r="D59" s="6" t="str">
        <x:v>STK/ETF</x:v>
      </x:c>
      <x:c r="E59" s="6" t="str">
        <x:v>1d</x:v>
      </x:c>
      <x:c r="F59" s="6" t="str">
        <x:v>Today high-low is the smallest of previous 7 completed days (including today); tomorrow buy if tomorrow intraday high exceeds signal day high by 1 tick using resting stop, with no look-ahead.</x:v>
      </x:c>
      <x:c r="G59" s="6" t="str">
        <x:v>Initial stop signal low; exit after 5 sessions or at 2R.</x:v>
      </x:c>
      <x:c r="H59" s="6" t="str">
        <x:v>Range 4/7/10; hold 3/5/10 days</x:v>
      </x:c>
      <x:c r="I59" s="6" t="str">
        <x:v>SWING_RISK</x:v>
      </x:c>
      <x:c r="J59" s="6" t="str">
        <x:v>Hypothesis</x:v>
      </x:c>
      <x:c r="K59" s="6" t="str"/>
      <x:c r="L59" s="6" t="str"/>
      <x:c r="M59" s="6" t="str">
        <x:v>https://www.nber.org/papers/w7613</x:v>
      </x:c>
    </x:row>
    <x:row r="60" ht="44" customHeight="1">
      <x:c r="A60" s="6" t="str">
        <x:v>S059</x:v>
      </x:c>
      <x:c r="B60" s="6" t="str">
        <x:v>Swing trend / breakouts</x:v>
      </x:c>
      <x:c r="C60" s="6" t="str">
        <x:v>Inside-day breakout</x:v>
      </x:c>
      <x:c r="D60" s="6" t="str">
        <x:v>STK/ETF</x:v>
      </x:c>
      <x:c r="E60" s="6" t="str">
        <x:v>1d</x:v>
      </x:c>
      <x:c r="F60" s="6" t="str">
        <x:v>Today high&lt;yesterday high and low&gt;yesterday low; place next-day buy stop 1 tick above inside-day high (short stop below low is separate).</x:v>
      </x:c>
      <x:c r="G60" s="6" t="str">
        <x:v>Stop inside-day low; exit after 5d or 2R.</x:v>
      </x:c>
      <x:c r="H60" s="6" t="str">
        <x:v>Inside 1/2 nested days; target 1.5/2R</x:v>
      </x:c>
      <x:c r="I60" s="6" t="str">
        <x:v>SWING_RISK</x:v>
      </x:c>
      <x:c r="J60" s="6" t="str">
        <x:v>Hypothesis</x:v>
      </x:c>
      <x:c r="K60" s="6" t="str"/>
      <x:c r="L60" s="6" t="str"/>
      <x:c r="M60" s="6" t="str">
        <x:v>https://www.nber.org/papers/w7613</x:v>
      </x:c>
    </x:row>
    <x:row r="61" ht="44" customHeight="1">
      <x:c r="A61" s="6" t="str">
        <x:v>S060</x:v>
      </x:c>
      <x:c r="B61" s="6" t="str">
        <x:v>Swing trend / breakouts</x:v>
      </x:c>
      <x:c r="C61" s="6" t="str">
        <x:v>Darvas box breakout</x:v>
      </x:c>
      <x:c r="D61" s="6" t="str">
        <x:v>STK/ETF</x:v>
      </x:c>
      <x:c r="E61" s="6" t="str">
        <x:v>1d</x:v>
      </x:c>
      <x:c r="F61" s="6" t="str">
        <x:v>Define resistance as max high of last 20 sessions; require past 5d highs &lt;resistance and min 5d low &gt;resistance-2ATR20; buy close &gt; resistance.</x:v>
      </x:c>
      <x:c r="G61" s="6" t="str">
        <x:v>Stop below 5d floor; exit after close under 20d low.</x:v>
      </x:c>
      <x:c r="H61" s="6" t="str">
        <x:v>Lookback 15/20/30d; depth 1/2/3ATR</x:v>
      </x:c>
      <x:c r="I61" s="6" t="str">
        <x:v>SWING_RISK</x:v>
      </x:c>
      <x:c r="J61" s="6" t="str">
        <x:v>Hypothesis</x:v>
      </x:c>
      <x:c r="K61" s="6" t="str"/>
      <x:c r="L61" s="6" t="str"/>
      <x:c r="M61" s="6" t="str">
        <x:v>https://www.nber.org/papers/w7613</x:v>
      </x:c>
    </x:row>
    <x:row r="62" ht="44" customHeight="1">
      <x:c r="A62" s="6" t="str">
        <x:v>S061</x:v>
      </x:c>
      <x:c r="B62" s="6" t="str">
        <x:v>Swing trend / breakouts</x:v>
      </x:c>
      <x:c r="C62" s="6" t="str">
        <x:v>Volatility contraction pattern</x:v>
      </x:c>
      <x:c r="D62" s="6" t="str">
        <x:v>STK</x:v>
      </x:c>
      <x:c r="E62" s="6" t="str">
        <x:v>1d</x:v>
      </x:c>
      <x:c r="F62" s="6" t="str">
        <x:v>Three successive 10-day true-range means decline (ATR10 now&lt;ATR10 ten days ago&lt;ATR10 twenty days ago), C within 5% of 126d high, close above prior 20d high.</x:v>
      </x:c>
      <x:c r="G62" s="6" t="str">
        <x:v>Stop low prior 10d; exit 3ATR trailing stop.</x:v>
      </x:c>
      <x:c r="H62" s="6" t="str">
        <x:v>Contractions 2/3/4; proximity 3/5/10%</x:v>
      </x:c>
      <x:c r="I62" s="6" t="str">
        <x:v>SWING_RISK</x:v>
      </x:c>
      <x:c r="J62" s="6" t="str">
        <x:v>Hypothesis</x:v>
      </x:c>
      <x:c r="K62" s="6" t="str"/>
      <x:c r="L62" s="6" t="str"/>
      <x:c r="M62" s="6" t="str">
        <x:v>https://www.nber.org/papers/w7613</x:v>
      </x:c>
    </x:row>
    <x:row r="63" ht="44" customHeight="1">
      <x:c r="A63" s="6" t="str">
        <x:v>S062</x:v>
      </x:c>
      <x:c r="B63" s="6" t="str">
        <x:v>Swing trend / breakouts</x:v>
      </x:c>
      <x:c r="C63" s="6" t="str">
        <x:v>Ichimoku cloud trend</x:v>
      </x:c>
      <x:c r="D63" s="6" t="str">
        <x:v>STK/ETF</x:v>
      </x:c>
      <x:c r="E63" s="6" t="str">
        <x:v>1d</x:v>
      </x:c>
      <x:c r="F63" s="6" t="str">
        <x:v>Tenkan=(9d high+low)/2, Kijun=(26d high+low)/2; Tenkan crosses above Kijun; price at signal exceeds previously plotted known cloud (avoid future data).</x:v>
      </x:c>
      <x:c r="G63" s="6" t="str">
        <x:v>Exit on reverse tenkan/kijun cross; 2ATR stop.</x:v>
      </x:c>
      <x:c r="H63" s="6" t="str">
        <x:v>Tenkan 9/12; kijun 26/30; cloud filter on/off</x:v>
      </x:c>
      <x:c r="I63" s="6" t="str">
        <x:v>SWING_RISK</x:v>
      </x:c>
      <x:c r="J63" s="6" t="str">
        <x:v>Hypothesis</x:v>
      </x:c>
      <x:c r="K63" s="6" t="str">
        <x:v>Cloud forward displacement must be aligned to information-time, no future leakage</x:v>
      </x:c>
      <x:c r="L63" s="6" t="str"/>
      <x:c r="M63" s="6" t="str">
        <x:v>https://www.nber.org/papers/w7613</x:v>
      </x:c>
    </x:row>
    <x:row r="64" ht="44" customHeight="1">
      <x:c r="A64" s="6" t="str">
        <x:v>S063</x:v>
      </x:c>
      <x:c r="B64" s="6" t="str">
        <x:v>Swing trend / breakouts</x:v>
      </x:c>
      <x:c r="C64" s="6" t="str">
        <x:v>Parabolic SAR reversal</x:v>
      </x:c>
      <x:c r="D64" s="6" t="str">
        <x:v>STK/ETF</x:v>
      </x:c>
      <x:c r="E64" s="6" t="str">
        <x:v>1d</x:v>
      </x:c>
      <x:c r="F64" s="6" t="str">
        <x:v>Wilder Parabolic SAR flips from above price to below price at completed daily bar; buy next open if 200SMA positive.</x:v>
      </x:c>
      <x:c r="G64" s="6" t="str">
        <x:v>Exit at SAR stop (gap-aware), or SAR flips bearish.</x:v>
      </x:c>
      <x:c r="H64" s="6" t="str">
        <x:v>Acceleration .01/.02/.03; maximum .1/.2/.3</x:v>
      </x:c>
      <x:c r="I64" s="6" t="str">
        <x:v>SWING_RISK</x:v>
      </x:c>
      <x:c r="J64" s="6" t="str">
        <x:v>Hypothesis</x:v>
      </x:c>
      <x:c r="K64" s="6" t="str"/>
      <x:c r="L64" s="6" t="str"/>
      <x:c r="M64" s="6" t="str">
        <x:v>https://www.nber.org/papers/w7613</x:v>
      </x:c>
    </x:row>
    <x:row r="65" ht="44" customHeight="1">
      <x:c r="A65" s="6" t="str">
        <x:v>S064</x:v>
      </x:c>
      <x:c r="B65" s="6" t="str">
        <x:v>Swing trend / breakouts</x:v>
      </x:c>
      <x:c r="C65" s="6" t="str">
        <x:v>Supertrend ATR band</x:v>
      </x:c>
      <x:c r="D65" s="6" t="str">
        <x:v>STK/ETF</x:v>
      </x:c>
      <x:c r="E65" s="6" t="str">
        <x:v>1d</x:v>
      </x:c>
      <x:c r="F65" s="6" t="str">
        <x:v>Supertrend(ATR10, multiplier3) flips bullish on completed bar; buy next open.</x:v>
      </x:c>
      <x:c r="G65" s="6" t="str">
        <x:v>Exit when trend flips bearish; apply price band as trailing stop next session only.</x:v>
      </x:c>
      <x:c r="H65" s="6" t="str">
        <x:v>ATR 7/10/14; factor 2/3/4</x:v>
      </x:c>
      <x:c r="I65" s="6" t="str">
        <x:v>SWING_RISK</x:v>
      </x:c>
      <x:c r="J65" s="6" t="str">
        <x:v>Hypothesis</x:v>
      </x:c>
      <x:c r="K65" s="6" t="str"/>
      <x:c r="L65" s="6" t="str"/>
      <x:c r="M65" s="6" t="str">
        <x:v>https://www.nber.org/papers/w7613</x:v>
      </x:c>
    </x:row>
    <x:row r="66" ht="44" customHeight="1">
      <x:c r="A66" s="6" t="str">
        <x:v>S065</x:v>
      </x:c>
      <x:c r="B66" s="6" t="str">
        <x:v>Swing trend / breakouts</x:v>
      </x:c>
      <x:c r="C66" s="6" t="str">
        <x:v>20-day high with volatility scaling</x:v>
      </x:c>
      <x:c r="D66" s="6" t="str">
        <x:v>STK/ETF</x:v>
      </x:c>
      <x:c r="E66" s="6" t="str">
        <x:v>1d</x:v>
      </x:c>
      <x:c r="F66" s="6" t="str">
        <x:v>C &gt; previous 20d high, and realized 20d volatility &lt;80th percentile of rolling 252d distribution.</x:v>
      </x:c>
      <x:c r="G66" s="6" t="str">
        <x:v>Exit 10-day low or 2ATR20 trailing, first.</x:v>
      </x:c>
      <x:c r="H66" s="6" t="str">
        <x:v>Vol percentile 60/80/100%; high 20/55</x:v>
      </x:c>
      <x:c r="I66" s="6" t="str">
        <x:v>SWING_RISK</x:v>
      </x:c>
      <x:c r="J66" s="6" t="str">
        <x:v>Hypothesis</x:v>
      </x:c>
      <x:c r="K66" s="6" t="str"/>
      <x:c r="L66" s="6" t="str"/>
      <x:c r="M66" s="6" t="str">
        <x:v>https://doi.org/10.1016/j.jfineco.2011.11.003</x:v>
      </x:c>
    </x:row>
    <x:row r="67" ht="44" customHeight="1">
      <x:c r="A67" s="6" t="str">
        <x:v>S066</x:v>
      </x:c>
      <x:c r="B67" s="6" t="str">
        <x:v>Swing trend / breakouts</x:v>
      </x:c>
      <x:c r="C67" s="6" t="str">
        <x:v>Bullish engulfing with trend filter</x:v>
      </x:c>
      <x:c r="D67" s="6" t="str">
        <x:v>STK/ETF</x:v>
      </x:c>
      <x:c r="E67" s="6" t="str">
        <x:v>1d</x:v>
      </x:c>
      <x:c r="F67" s="6" t="str">
        <x:v>Prior C&lt;O; today C&gt;O, today O&lt;prior C, today C&gt;prior O; C&gt;SMA200 and RSI14&lt;60; buy next open.</x:v>
      </x:c>
      <x:c r="G67" s="6" t="str">
        <x:v>Stop min(signal low, prior low); exit 3d or 2R.</x:v>
      </x:c>
      <x:c r="H67" s="6" t="str">
        <x:v>RSI max 50/60; hold 3/5/10d</x:v>
      </x:c>
      <x:c r="I67" s="6" t="str">
        <x:v>SWING_RISK</x:v>
      </x:c>
      <x:c r="J67" s="6" t="str">
        <x:v>Hypothesis; candlesticks require independent validation</x:v>
      </x:c>
      <x:c r="K67" s="6" t="str"/>
      <x:c r="L67" s="6" t="str"/>
      <x:c r="M67" s="6" t="str">
        <x:v>https://www.nber.org/papers/w7613</x:v>
      </x:c>
    </x:row>
    <x:row r="68" ht="44" customHeight="1">
      <x:c r="A68" s="6" t="str">
        <x:v>S067</x:v>
      </x:c>
      <x:c r="B68" s="6" t="str">
        <x:v>Swing trend / breakouts</x:v>
      </x:c>
      <x:c r="C68" s="6" t="str">
        <x:v>Head-and-shoulders neckline break</x:v>
      </x:c>
      <x:c r="D68" s="6" t="str">
        <x:v>STK/ETF</x:v>
      </x:c>
      <x:c r="E68" s="6" t="str">
        <x:v>1d</x:v>
      </x:c>
      <x:c r="F68" s="6" t="str">
        <x:v>Find 3 pivot highs using fixed 3-bar confirmation lag: head &gt;both shoulders by &gt;=1ATR; shoulders within 1ATR; short next open if C crosses below straight line through two reaction lows.</x:v>
      </x:c>
      <x:c r="G68" s="6" t="str">
        <x:v>Stop right shoulder high; cover after close above neckline or 3R.</x:v>
      </x:c>
      <x:c r="H68" s="6" t="str">
        <x:v>Pivot lag 3/5; symmetry 1/2 ATR</x:v>
      </x:c>
      <x:c r="I68" s="6" t="str">
        <x:v>SWING_RISK</x:v>
      </x:c>
      <x:c r="J68" s="6" t="str">
        <x:v>Hypothesis</x:v>
      </x:c>
      <x:c r="K68" s="6" t="str">
        <x:v>Pattern pivots only become known after 3/5 confirmation bars</x:v>
      </x:c>
      <x:c r="L68" s="6" t="str"/>
      <x:c r="M68" s="6" t="str">
        <x:v>https://www.nber.org/papers/w7613</x:v>
      </x:c>
    </x:row>
    <x:row r="69" ht="44" customHeight="1">
      <x:c r="A69" s="6" t="str">
        <x:v>S068</x:v>
      </x:c>
      <x:c r="B69" s="6" t="str">
        <x:v>Swing mean reversion</x:v>
      </x:c>
      <x:c r="C69" s="6" t="str">
        <x:v>Connors RSI(2) dip</x:v>
      </x:c>
      <x:c r="D69" s="6" t="str">
        <x:v>STK/ETF</x:v>
      </x:c>
      <x:c r="E69" s="6" t="str">
        <x:v>1d</x:v>
      </x:c>
      <x:c r="F69" s="6" t="str">
        <x:v>C&gt;SMA200 and Wilder RSI2&lt;5 at close; buy next open.</x:v>
      </x:c>
      <x:c r="G69" s="6" t="str">
        <x:v>Sell next open after first C&gt;SMA5; primary published-style baseline has NO protective stop; cap notional and model gap.</x:v>
      </x:c>
      <x:c r="H69" s="6" t="str">
        <x:v>RSI 2/5/10; exit SMA3/5/10; max hold none/10</x:v>
      </x:c>
      <x:c r="I69" s="6" t="str">
        <x:v>SWING_NOTIONAL</x:v>
      </x:c>
      <x:c r="J69" s="6" t="str">
        <x:v>Established rule-system variant</x:v>
      </x:c>
      <x:c r="K69" s="6" t="str"/>
      <x:c r="L69" s="6" t="str"/>
      <x:c r="M69" s="6" t="str">
        <x:v>https://chartschool.stockcharts.com/table-of-contents/trading-strategies-and-models/trading-strategies/rsi-2</x:v>
      </x:c>
    </x:row>
    <x:row r="70" ht="44" customHeight="1">
      <x:c r="A70" s="6" t="str">
        <x:v>S069</x:v>
      </x:c>
      <x:c r="B70" s="6" t="str">
        <x:v>Swing mean reversion</x:v>
      </x:c>
      <x:c r="C70" s="6" t="str">
        <x:v>RSI(14) oversold rebound</x:v>
      </x:c>
      <x:c r="D70" s="6" t="str">
        <x:v>STK/ETF</x:v>
      </x:c>
      <x:c r="E70" s="6" t="str">
        <x:v>1d</x:v>
      </x:c>
      <x:c r="F70" s="6" t="str">
        <x:v>C&gt;SMA200 and RSI14 crosses above 30 from below; buy next open.</x:v>
      </x:c>
      <x:c r="G70" s="6" t="str">
        <x:v>Exit at RSI14&gt;=55 or day close&lt;SMA200, max hold 15 sessions.</x:v>
      </x:c>
      <x:c r="H70" s="6" t="str">
        <x:v>RSI oversold 20/30/40; exit 50/55/60</x:v>
      </x:c>
      <x:c r="I70" s="6" t="str">
        <x:v>SWING_NOTIONAL</x:v>
      </x:c>
      <x:c r="J70" s="6" t="str">
        <x:v>Hypothesis</x:v>
      </x:c>
      <x:c r="K70" s="6" t="str"/>
      <x:c r="L70" s="6" t="str"/>
      <x:c r="M70" s="6" t="str">
        <x:v>https://www.nber.org/papers/w7613</x:v>
      </x:c>
    </x:row>
    <x:row r="71" ht="44" customHeight="1">
      <x:c r="A71" s="6" t="str">
        <x:v>S070</x:v>
      </x:c>
      <x:c r="B71" s="6" t="str">
        <x:v>Swing mean reversion</x:v>
      </x:c>
      <x:c r="C71" s="6" t="str">
        <x:v>Bollinger lower-band rebound</x:v>
      </x:c>
      <x:c r="D71" s="6" t="str">
        <x:v>STK/ETF</x:v>
      </x:c>
      <x:c r="E71" s="6" t="str">
        <x:v>1d</x:v>
      </x:c>
      <x:c r="F71" s="6" t="str">
        <x:v>Prior close below lower BB20,2; today close back inside band; SMA200 up; buy next open.</x:v>
      </x:c>
      <x:c r="G71" s="6" t="str">
        <x:v>Sell on close&gt;=SMA20; disaster 3ATR14 stop; max hold 15d.</x:v>
      </x:c>
      <x:c r="H71" s="6" t="str">
        <x:v>BB 20/30; sigma 1.5/2/2.5</x:v>
      </x:c>
      <x:c r="I71" s="6" t="str">
        <x:v>SWING_RISK</x:v>
      </x:c>
      <x:c r="J71" s="6" t="str">
        <x:v>Established indicator; rule baseline</x:v>
      </x:c>
      <x:c r="K71" s="6" t="str"/>
      <x:c r="L71" s="6" t="str"/>
      <x:c r="M71" s="6" t="str">
        <x:v>https://www.fidelity.com/learning-center/trading-investing/technical-analysis/technical-indicator-guide/bollinger-bands</x:v>
      </x:c>
    </x:row>
    <x:row r="72" ht="44" customHeight="1">
      <x:c r="A72" s="6" t="str">
        <x:v>S071</x:v>
      </x:c>
      <x:c r="B72" s="6" t="str">
        <x:v>Swing mean reversion</x:v>
      </x:c>
      <x:c r="C72" s="6" t="str">
        <x:v>Bollinger band touch mean reversion</x:v>
      </x:c>
      <x:c r="D72" s="6" t="str">
        <x:v>ETF</x:v>
      </x:c>
      <x:c r="E72" s="6" t="str">
        <x:v>1d</x:v>
      </x:c>
      <x:c r="F72" s="6" t="str">
        <x:v>Close &lt;lower BB(20,2) and C&gt;SMA200, buy next open without confirmation.</x:v>
      </x:c>
      <x:c r="G72" s="6" t="str">
        <x:v>Exit close&gt;=SMA20, or after 10d, optional stop 3ATR.</x:v>
      </x:c>
      <x:c r="H72" s="6" t="str">
        <x:v>band 1.5/2/2.5sigma; hold 5/10/15</x:v>
      </x:c>
      <x:c r="I72" s="6" t="str">
        <x:v>SWING_NOTIONAL</x:v>
      </x:c>
      <x:c r="J72" s="6" t="str">
        <x:v>Hypothesis</x:v>
      </x:c>
      <x:c r="K72" s="6" t="str"/>
      <x:c r="L72" s="6" t="str"/>
      <x:c r="M72" s="6" t="str">
        <x:v>https://www.fidelity.com/learning-center/trading-investing/technical-analysis/technical-indicator-guide/bollinger-bands</x:v>
      </x:c>
    </x:row>
    <x:row r="73" ht="44" customHeight="1">
      <x:c r="A73" s="6" t="str">
        <x:v>S072</x:v>
      </x:c>
      <x:c r="B73" s="6" t="str">
        <x:v>Swing mean reversion</x:v>
      </x:c>
      <x:c r="C73" s="6" t="str">
        <x:v>20-day z-score mean reversion</x:v>
      </x:c>
      <x:c r="D73" s="6" t="str">
        <x:v>ETF</x:v>
      </x:c>
      <x:c r="E73" s="6" t="str">
        <x:v>1d</x:v>
      </x:c>
      <x:c r="F73" s="6" t="str">
        <x:v>z=(C-SMA20)/std20(C)&lt;-2; SMA200 trend positive; enter next open.</x:v>
      </x:c>
      <x:c r="G73" s="6" t="str">
        <x:v>Exit z&gt;=0 or 10 sessions; stop z&lt;-3 by next-open fill.</x:v>
      </x:c>
      <x:c r="H73" s="6" t="str">
        <x:v>z -1.5/-2/-2.5; maxhold 5/10</x:v>
      </x:c>
      <x:c r="I73" s="6" t="str">
        <x:v>SWING_NOTIONAL</x:v>
      </x:c>
      <x:c r="J73" s="6" t="str">
        <x:v>Hypothesis</x:v>
      </x:c>
      <x:c r="K73" s="6" t="str"/>
      <x:c r="L73" s="6" t="str"/>
      <x:c r="M73" s="6" t="str">
        <x:v>https://doi.org/10.2307/2937816</x:v>
      </x:c>
    </x:row>
    <x:row r="74" ht="44" customHeight="1">
      <x:c r="A74" s="6" t="str">
        <x:v>S073</x:v>
      </x:c>
      <x:c r="B74" s="6" t="str">
        <x:v>Swing mean reversion</x:v>
      </x:c>
      <x:c r="C74" s="6" t="str">
        <x:v>Three consecutive down closes</x:v>
      </x:c>
      <x:c r="D74" s="6" t="str">
        <x:v>ETF</x:v>
      </x:c>
      <x:c r="E74" s="6" t="str">
        <x:v>1d</x:v>
      </x:c>
      <x:c r="F74" s="6" t="str">
        <x:v>C_t&lt;C_t-1&lt;C_t-2&lt;C_t-3 and C&gt;SMA200; buy next open.</x:v>
      </x:c>
      <x:c r="G74" s="6" t="str">
        <x:v>Exit first C&gt;SMA5 or after 5 sessions.</x:v>
      </x:c>
      <x:c r="H74" s="6" t="str">
        <x:v>Consecutive 2/3/4/5; exit 3/5day SMA</x:v>
      </x:c>
      <x:c r="I74" s="6" t="str">
        <x:v>SWING_NOTIONAL</x:v>
      </x:c>
      <x:c r="J74" s="6" t="str">
        <x:v>Hypothesis</x:v>
      </x:c>
      <x:c r="K74" s="6" t="str"/>
      <x:c r="L74" s="6" t="str"/>
      <x:c r="M74" s="6" t="str">
        <x:v>https://doi.org/10.2307/2937816</x:v>
      </x:c>
    </x:row>
    <x:row r="75" ht="44" customHeight="1">
      <x:c r="A75" s="6" t="str">
        <x:v>S074</x:v>
      </x:c>
      <x:c r="B75" s="6" t="str">
        <x:v>Swing mean reversion</x:v>
      </x:c>
      <x:c r="C75" s="6" t="str">
        <x:v>Short-term 1-week loser reversal</x:v>
      </x:c>
      <x:c r="D75" s="6" t="str">
        <x:v>STK</x:v>
      </x:c>
      <x:c r="E75" s="6" t="str">
        <x:v>1d</x:v>
      </x:c>
      <x:c r="F75" s="6" t="str">
        <x:v>At Friday close rank last 5d total returns, long bottom decile and short top decile in sector-neutral groups; enter Monday open.</x:v>
      </x:c>
      <x:c r="G75" s="6" t="str">
        <x:v>Exit following Friday close proxy: signal Thu EOD to next Fri open or next Mon open uniformly.</x:v>
      </x:c>
      <x:c r="H75" s="6" t="str">
        <x:v>Formation 3/5/10d; decile 10/20%; sector neutral on/off</x:v>
      </x:c>
      <x:c r="I75" s="6" t="str">
        <x:v>CROSS_SECTION</x:v>
      </x:c>
      <x:c r="J75" s="6" t="str">
        <x:v>Research-backed mechanism; implementation baseline</x:v>
      </x:c>
      <x:c r="K75" s="6" t="str"/>
      <x:c r="L75" s="6" t="str"/>
      <x:c r="M75" s="6" t="str">
        <x:v>https://doi.org/10.2307/2937816</x:v>
      </x:c>
    </x:row>
    <x:row r="76" ht="44" customHeight="1">
      <x:c r="A76" s="6" t="str">
        <x:v>S075</x:v>
      </x:c>
      <x:c r="B76" s="6" t="str">
        <x:v>Swing mean reversion</x:v>
      </x:c>
      <x:c r="C76" s="6" t="str">
        <x:v>Internal bar strength dip</x:v>
      </x:c>
      <x:c r="D76" s="6" t="str">
        <x:v>ETF</x:v>
      </x:c>
      <x:c r="E76" s="6" t="str">
        <x:v>1d</x:v>
      </x:c>
      <x:c r="F76" s="6" t="str">
        <x:v>IBS=(C-L)/(H-L), skip H=L; C&gt;SMA200 and IBS&lt;0.2; buy next open.</x:v>
      </x:c>
      <x:c r="G76" s="6" t="str">
        <x:v>Exit IBS&gt;0.8 or C&gt;SMA5; time stop 5d.</x:v>
      </x:c>
      <x:c r="H76" s="6" t="str">
        <x:v>IBS .1/.2/.3; exit .7/.8/.9</x:v>
      </x:c>
      <x:c r="I76" s="6" t="str">
        <x:v>SWING_NOTIONAL</x:v>
      </x:c>
      <x:c r="J76" s="6" t="str">
        <x:v>Hypothesis</x:v>
      </x:c>
      <x:c r="K76" s="6" t="str"/>
      <x:c r="L76" s="6" t="str"/>
      <x:c r="M76" s="6" t="str">
        <x:v>https://doi.org/10.2307/2937816</x:v>
      </x:c>
    </x:row>
    <x:row r="77" ht="44" customHeight="1">
      <x:c r="A77" s="6" t="str">
        <x:v>S076</x:v>
      </x:c>
      <x:c r="B77" s="6" t="str">
        <x:v>Swing mean reversion</x:v>
      </x:c>
      <x:c r="C77" s="6" t="str">
        <x:v>Williams %R oversold</x:v>
      </x:c>
      <x:c r="D77" s="6" t="str">
        <x:v>ETF</x:v>
      </x:c>
      <x:c r="E77" s="6" t="str">
        <x:v>1d</x:v>
      </x:c>
      <x:c r="F77" s="6" t="str">
        <x:v>Williams%R14 &lt;=-90 and C&gt;SMA200; buy next open after oscillator crosses back above -80.</x:v>
      </x:c>
      <x:c r="G77" s="6" t="str">
        <x:v>Exit %R&gt;-20 or after 10d.</x:v>
      </x:c>
      <x:c r="H77" s="6" t="str">
        <x:v>14/21 lookback; threshold -80/-90</x:v>
      </x:c>
      <x:c r="I77" s="6" t="str">
        <x:v>SWING_NOTIONAL</x:v>
      </x:c>
      <x:c r="J77" s="6" t="str">
        <x:v>Hypothesis</x:v>
      </x:c>
      <x:c r="K77" s="6" t="str"/>
      <x:c r="L77" s="6" t="str"/>
      <x:c r="M77" s="6" t="str">
        <x:v>https://www.nber.org/papers/w7613</x:v>
      </x:c>
    </x:row>
    <x:row r="78" ht="44" customHeight="1">
      <x:c r="A78" s="6" t="str">
        <x:v>S077</x:v>
      </x:c>
      <x:c r="B78" s="6" t="str">
        <x:v>Swing mean reversion</x:v>
      </x:c>
      <x:c r="C78" s="6" t="str">
        <x:v>Stochastic bullish crossover</x:v>
      </x:c>
      <x:c r="D78" s="6" t="str">
        <x:v>STK/ETF</x:v>
      </x:c>
      <x:c r="E78" s="6" t="str">
        <x:v>1d</x:v>
      </x:c>
      <x:c r="F78" s="6" t="str">
        <x:v>Slow stochastic %K14,3 crosses above %D3 when both &lt;20, C&gt;SMA200; buy next open.</x:v>
      </x:c>
      <x:c r="G78" s="6" t="str">
        <x:v>Exit %K&gt;80 or %K crosses below %D; max hold 15d.</x:v>
      </x:c>
      <x:c r="H78" s="6" t="str">
        <x:v>%K 10/14/21; oversold 15/20/25</x:v>
      </x:c>
      <x:c r="I78" s="6" t="str">
        <x:v>SWING_NOTIONAL</x:v>
      </x:c>
      <x:c r="J78" s="6" t="str">
        <x:v>Hypothesis</x:v>
      </x:c>
      <x:c r="K78" s="6" t="str"/>
      <x:c r="L78" s="6" t="str"/>
      <x:c r="M78" s="6" t="str">
        <x:v>https://www.nber.org/papers/w7613</x:v>
      </x:c>
    </x:row>
    <x:row r="79" ht="44" customHeight="1">
      <x:c r="A79" s="6" t="str">
        <x:v>S078</x:v>
      </x:c>
      <x:c r="B79" s="6" t="str">
        <x:v>Swing mean reversion</x:v>
      </x:c>
      <x:c r="C79" s="6" t="str">
        <x:v>CCI oversold recovery</x:v>
      </x:c>
      <x:c r="D79" s="6" t="str">
        <x:v>ETF</x:v>
      </x:c>
      <x:c r="E79" s="6" t="str">
        <x:v>1d</x:v>
      </x:c>
      <x:c r="F79" s="6" t="str">
        <x:v>Commodity Channel Index20 crosses above -100 from below, with C&gt;SMA200; buy next open.</x:v>
      </x:c>
      <x:c r="G79" s="6" t="str">
        <x:v>Exit CCI&gt;+100 or 10d.</x:v>
      </x:c>
      <x:c r="H79" s="6" t="str">
        <x:v>CCI lookback 14/20/30; thresholds -100/-150</x:v>
      </x:c>
      <x:c r="I79" s="6" t="str">
        <x:v>SWING_NOTIONAL</x:v>
      </x:c>
      <x:c r="J79" s="6" t="str">
        <x:v>Hypothesis</x:v>
      </x:c>
      <x:c r="K79" s="6" t="str"/>
      <x:c r="L79" s="6" t="str"/>
      <x:c r="M79" s="6" t="str">
        <x:v>https://www.nber.org/papers/w7613</x:v>
      </x:c>
    </x:row>
    <x:row r="80" ht="44" customHeight="1">
      <x:c r="A80" s="6" t="str">
        <x:v>S079</x:v>
      </x:c>
      <x:c r="B80" s="6" t="str">
        <x:v>Swing mean reversion</x:v>
      </x:c>
      <x:c r="C80" s="6" t="str">
        <x:v>2ATR flash selloff reversal</x:v>
      </x:c>
      <x:c r="D80" s="6" t="str">
        <x:v>ETF</x:v>
      </x:c>
      <x:c r="E80" s="6" t="str">
        <x:v>1d</x:v>
      </x:c>
      <x:c r="F80" s="6" t="str">
        <x:v>C &lt;= previous close -2*ATR14 with SMA200 positive and volume &gt;=1.5*20d average; buy next open.</x:v>
      </x:c>
      <x:c r="G80" s="6" t="str">
        <x:v>Exit C&gt;=SMA5 or 7d; stop 3ATR14.</x:v>
      </x:c>
      <x:c r="H80" s="6" t="str">
        <x:v>Drop 1.5/2/2.5ATR; volume 1/1.5/2</x:v>
      </x:c>
      <x:c r="I80" s="6" t="str">
        <x:v>SWING_RISK</x:v>
      </x:c>
      <x:c r="J80" s="6" t="str">
        <x:v>Hypothesis</x:v>
      </x:c>
      <x:c r="K80" s="6" t="str"/>
      <x:c r="L80" s="6" t="str"/>
      <x:c r="M80" s="6" t="str">
        <x:v>https://doi.org/10.2307/2937816</x:v>
      </x:c>
    </x:row>
    <x:row r="81" ht="44" customHeight="1">
      <x:c r="A81" s="6" t="str">
        <x:v>S080</x:v>
      </x:c>
      <x:c r="B81" s="6" t="str">
        <x:v>Swing mean reversion</x:v>
      </x:c>
      <x:c r="C81" s="6" t="str">
        <x:v>Trend pullback to 200SMA</x:v>
      </x:c>
      <x:c r="D81" s="6" t="str">
        <x:v>STK/ETF</x:v>
      </x:c>
      <x:c r="E81" s="6" t="str">
        <x:v>1d</x:v>
      </x:c>
      <x:c r="F81" s="6" t="str">
        <x:v>SMA200 slope positive over 20d; C within 1% of SMA200 from above and RSI14&lt;40, buy next open.</x:v>
      </x:c>
      <x:c r="G81" s="6" t="str">
        <x:v>Exit at SMA20 or after 20d; stop C&lt;0.97*SMA200 next open.</x:v>
      </x:c>
      <x:c r="H81" s="6" t="str">
        <x:v>Near 1/2/3%; RSI 30/40</x:v>
      </x:c>
      <x:c r="I81" s="6" t="str">
        <x:v>SWING_NOTIONAL</x:v>
      </x:c>
      <x:c r="J81" s="6" t="str">
        <x:v>Hypothesis</x:v>
      </x:c>
      <x:c r="K81" s="6" t="str"/>
      <x:c r="L81" s="6" t="str"/>
      <x:c r="M81" s="6" t="str">
        <x:v>https://doi.org/10.2307/2937816</x:v>
      </x:c>
    </x:row>
    <x:row r="82" ht="44" customHeight="1">
      <x:c r="A82" s="6" t="str">
        <x:v>S081</x:v>
      </x:c>
      <x:c r="B82" s="6" t="str">
        <x:v>Swing mean reversion</x:v>
      </x:c>
      <x:c r="C82" s="6" t="str">
        <x:v>Keltner channel lower-band fade</x:v>
      </x:c>
      <x:c r="D82" s="6" t="str">
        <x:v>ETF</x:v>
      </x:c>
      <x:c r="E82" s="6" t="str">
        <x:v>1d</x:v>
      </x:c>
      <x:c r="F82" s="6" t="str">
        <x:v>C&lt;EMA20 -2ATR20 and EMA200 rising; buy next open.</x:v>
      </x:c>
      <x:c r="G82" s="6" t="str">
        <x:v>Exit C&gt;=EMA20 or after 12d; stop -3ATR below EMA20.</x:v>
      </x:c>
      <x:c r="H82" s="6" t="str">
        <x:v>Keltner factor 1.5/2/2.5; hold 8/12</x:v>
      </x:c>
      <x:c r="I82" s="6" t="str">
        <x:v>SWING_NOTIONAL</x:v>
      </x:c>
      <x:c r="J82" s="6" t="str">
        <x:v>Hypothesis</x:v>
      </x:c>
      <x:c r="K82" s="6" t="str"/>
      <x:c r="L82" s="6" t="str"/>
      <x:c r="M82" s="6" t="str">
        <x:v>https://www.nber.org/papers/w7613</x:v>
      </x:c>
    </x:row>
    <x:row r="83" ht="44" customHeight="1">
      <x:c r="A83" s="6" t="str">
        <x:v>S082</x:v>
      </x:c>
      <x:c r="B83" s="6" t="str">
        <x:v>Swing mean reversion</x:v>
      </x:c>
      <x:c r="C83" s="6" t="str">
        <x:v>Residual sector-neutral dip</x:v>
      </x:c>
      <x:c r="D83" s="6" t="str">
        <x:v>STK</x:v>
      </x:c>
      <x:c r="E83" s="6" t="str">
        <x:v>1d</x:v>
      </x:c>
      <x:c r="F83" s="6" t="str">
        <x:v>Compute stock 5-day return minus beta*SPY return minus sector ETF return coefficient using 252d trailing OLS; long bottom decile residual, short top.</x:v>
      </x:c>
      <x:c r="G83" s="6" t="str">
        <x:v>Hold 5d then rebalance; cap sector and borrow.</x:v>
      </x:c>
      <x:c r="H83" s="6" t="str">
        <x:v>Residual 3/5/10d; beta lookback 126/252</x:v>
      </x:c>
      <x:c r="I83" s="6" t="str">
        <x:v>CROSS_SECTION</x:v>
      </x:c>
      <x:c r="J83" s="6" t="str">
        <x:v>Hypothesis</x:v>
      </x:c>
      <x:c r="K83" s="6" t="str"/>
      <x:c r="L83" s="6" t="str"/>
      <x:c r="M83" s="6" t="str">
        <x:v>https://doi.org/10.2307/2937816</x:v>
      </x:c>
    </x:row>
    <x:row r="84" ht="44" customHeight="1">
      <x:c r="A84" s="6" t="str">
        <x:v>S083</x:v>
      </x:c>
      <x:c r="B84" s="6" t="str">
        <x:v>Swing mean reversion</x:v>
      </x:c>
      <x:c r="C84" s="6" t="str">
        <x:v>Volatility shock oversold ETF</x:v>
      </x:c>
      <x:c r="D84" s="6" t="str">
        <x:v>ETF</x:v>
      </x:c>
      <x:c r="E84" s="6" t="str">
        <x:v>1d</x:v>
      </x:c>
      <x:c r="F84" s="6" t="str">
        <x:v>At close VIX above trailing 252d 90th percentile and SPY RSI2&lt;5; buy SPY next open.</x:v>
      </x:c>
      <x:c r="G84" s="6" t="str">
        <x:v>Exit at SPY C&gt;SMA5 or VIX below its 20d median; max 10d.</x:v>
      </x:c>
      <x:c r="H84" s="6" t="str">
        <x:v>VIX pct 80/90/95; RSI2 2/5/10</x:v>
      </x:c>
      <x:c r="I84" s="6" t="str">
        <x:v>SWING_NOTIONAL</x:v>
      </x:c>
      <x:c r="J84" s="6" t="str">
        <x:v>Hypothesis</x:v>
      </x:c>
      <x:c r="K84" s="6" t="str">
        <x:v>VIX official index historical time stamp</x:v>
      </x:c>
      <x:c r="L84" s="6" t="str"/>
      <x:c r="M84" s="6" t="str">
        <x:v>https://doi.org/10.2307/2937816</x:v>
      </x:c>
    </x:row>
    <x:row r="85" ht="44" customHeight="1">
      <x:c r="A85" s="6" t="str">
        <x:v>S084</x:v>
      </x:c>
      <x:c r="B85" s="6" t="str">
        <x:v>Swing mean reversion</x:v>
      </x:c>
      <x:c r="C85" s="6" t="str">
        <x:v>Distance-from-52wk-low bounce</x:v>
      </x:c>
      <x:c r="D85" s="6" t="str">
        <x:v>STK</x:v>
      </x:c>
      <x:c r="E85" s="6" t="str">
        <x:v>1d</x:v>
      </x:c>
      <x:c r="F85" s="6" t="str">
        <x:v>C within 3% of prior 252d lowest low, RSI14 crosses above 30, ADV&gt;=$20m; buy next open.</x:v>
      </x:c>
      <x:c r="G85" s="6" t="str">
        <x:v>Exit C reaches SMA20 or max 15 sessions, stop below 252d low.</x:v>
      </x:c>
      <x:c r="H85" s="6" t="str">
        <x:v>Near 2/3/5%; hold 10/15/20</x:v>
      </x:c>
      <x:c r="I85" s="6" t="str">
        <x:v>SWING_RISK</x:v>
      </x:c>
      <x:c r="J85" s="6" t="str">
        <x:v>Hypothesis</x:v>
      </x:c>
      <x:c r="K85" s="6" t="str"/>
      <x:c r="L85" s="6" t="str">
        <x:v>Distress and bankruptcies dominate sample without delisting data</x:v>
      </x:c>
      <x:c r="M85" s="6" t="str">
        <x:v>https://www.nber.org/papers/w7613</x:v>
      </x:c>
    </x:row>
    <x:row r="86" ht="44" customHeight="1">
      <x:c r="A86" s="6" t="str">
        <x:v>S085</x:v>
      </x:c>
      <x:c r="B86" s="6" t="str">
        <x:v>Position / cross-sectional factors</x:v>
      </x:c>
      <x:c r="C86" s="6" t="str">
        <x:v>Cross-sectional 12-2 momentum</x:v>
      </x:c>
      <x:c r="D86" s="6" t="str">
        <x:v>STK</x:v>
      </x:c>
      <x:c r="E86" s="6" t="str">
        <x:v>1mo</x:v>
      </x:c>
      <x:c r="F86" s="6" t="str">
        <x:v>At last trading day month t rank cumulative stock total return t-12 to t-2, skipping most recent 1m; long top decile, short bottom, enter next first-month RTH open.</x:v>
      </x:c>
      <x:c r="G86" s="6" t="str">
        <x:v>Rebalance monthly; top/bottom deciles; volatility scale and industry neutral optionally.</x:v>
      </x:c>
      <x:c r="H86" s="6" t="str">
        <x:v>Lookback 6/9/12m; skip 1m; decile 10/20%</x:v>
      </x:c>
      <x:c r="I86" s="6" t="str">
        <x:v>CROSS_SECTION</x:v>
      </x:c>
      <x:c r="J86" s="6" t="str">
        <x:v>Research-backed anomaly</x:v>
      </x:c>
      <x:c r="K86" s="6" t="str"/>
      <x:c r="L86" s="6" t="str"/>
      <x:c r="M86" s="6" t="str">
        <x:v>https://doi.org/10.1111/j.1540-6261.1993.tb04702.x</x:v>
      </x:c>
    </x:row>
    <x:row r="87" ht="44" customHeight="1">
      <x:c r="A87" s="6" t="str">
        <x:v>S086</x:v>
      </x:c>
      <x:c r="B87" s="6" t="str">
        <x:v>Position / cross-sectional factors</x:v>
      </x:c>
      <x:c r="C87" s="6" t="str">
        <x:v>Cross-sectional 6-1 momentum</x:v>
      </x:c>
      <x:c r="D87" s="6" t="str">
        <x:v>STK</x:v>
      </x:c>
      <x:c r="E87" s="6" t="str">
        <x:v>1mo</x:v>
      </x:c>
      <x:c r="F87" s="6" t="str">
        <x:v>At month end rank total return over months t-6 to t-1; long top decile, short bottom, enter next-month opening.</x:v>
      </x:c>
      <x:c r="G87" s="6" t="str">
        <x:v>Monthly rebalance; replace positions exiting decile.</x:v>
      </x:c>
      <x:c r="H87" s="6" t="str">
        <x:v>Formation 3/6/9m; hold 1/3m</x:v>
      </x:c>
      <x:c r="I87" s="6" t="str">
        <x:v>CROSS_SECTION</x:v>
      </x:c>
      <x:c r="J87" s="6" t="str">
        <x:v>Research-backed mechanism; implementation baseline</x:v>
      </x:c>
      <x:c r="K87" s="6" t="str"/>
      <x:c r="L87" s="6" t="str"/>
      <x:c r="M87" s="6" t="str">
        <x:v>https://doi.org/10.1111/j.1540-6261.1993.tb04702.x</x:v>
      </x:c>
    </x:row>
    <x:row r="88" ht="44" customHeight="1">
      <x:c r="A88" s="6" t="str">
        <x:v>S087</x:v>
      </x:c>
      <x:c r="B88" s="6" t="str">
        <x:v>Position / cross-sectional factors</x:v>
      </x:c>
      <x:c r="C88" s="6" t="str">
        <x:v>Industry momentum</x:v>
      </x:c>
      <x:c r="D88" s="6" t="str">
        <x:v>STK</x:v>
      </x:c>
      <x:c r="E88" s="6" t="str">
        <x:v>1mo</x:v>
      </x:c>
      <x:c r="F88" s="6" t="str">
        <x:v>At month end compute value-weight industry returns over previous 6m excluding latest 1m; long stocks in top quintile industries vs bottom quintile industries.</x:v>
      </x:c>
      <x:c r="G88" s="6" t="str">
        <x:v>Rebalance next-month open, sector-balanced long/short.</x:v>
      </x:c>
      <x:c r="H88" s="6" t="str">
        <x:v>Industry mapping GICS/SIC; rank 3/6/12m</x:v>
      </x:c>
      <x:c r="I88" s="6" t="str">
        <x:v>CROSS_SECTION</x:v>
      </x:c>
      <x:c r="J88" s="6" t="str">
        <x:v>Hypothesis</x:v>
      </x:c>
      <x:c r="K88" s="6" t="str"/>
      <x:c r="L88" s="6" t="str"/>
      <x:c r="M88" s="6" t="str">
        <x:v>https://doi.org/10.1111/j.1540-6261.1993.tb04702.x</x:v>
      </x:c>
    </x:row>
    <x:row r="89" ht="44" customHeight="1">
      <x:c r="A89" s="6" t="str">
        <x:v>S088</x:v>
      </x:c>
      <x:c r="B89" s="6" t="str">
        <x:v>Position / cross-sectional factors</x:v>
      </x:c>
      <x:c r="C89" s="6" t="str">
        <x:v>Residual momentum</x:v>
      </x:c>
      <x:c r="D89" s="6" t="str">
        <x:v>STK</x:v>
      </x:c>
      <x:c r="E89" s="6" t="str">
        <x:v>1mo</x:v>
      </x:c>
      <x:c r="F89" s="6" t="str">
        <x:v>OLS each stock daily return vs market and sector past 252 sessions, rank residual cumulative return months t-12:t-2; long top decile, short bottom.</x:v>
      </x:c>
      <x:c r="G89" s="6" t="str">
        <x:v>Rebalance monthly; preserve dollar and estimated beta neutrality.</x:v>
      </x:c>
      <x:c r="H89" s="6" t="str">
        <x:v>Regression 126/252; momentum 6/12m</x:v>
      </x:c>
      <x:c r="I89" s="6" t="str">
        <x:v>CROSS_SECTION</x:v>
      </x:c>
      <x:c r="J89" s="6" t="str">
        <x:v>Hypothesis</x:v>
      </x:c>
      <x:c r="K89" s="6" t="str"/>
      <x:c r="L89" s="6" t="str"/>
      <x:c r="M89" s="6" t="str">
        <x:v>https://doi.org/10.1111/j.1540-6261.1993.tb04702.x</x:v>
      </x:c>
    </x:row>
    <x:row r="90" ht="44" customHeight="1">
      <x:c r="A90" s="6" t="str">
        <x:v>S089</x:v>
      </x:c>
      <x:c r="B90" s="6" t="str">
        <x:v>Position / cross-sectional factors</x:v>
      </x:c>
      <x:c r="C90" s="6" t="str">
        <x:v>Dual momentum sector ETF rotation</x:v>
      </x:c>
      <x:c r="D90" s="6" t="str">
        <x:v>ETF</x:v>
      </x:c>
      <x:c r="E90" s="6" t="str">
        <x:v>1mo</x:v>
      </x:c>
      <x:c r="F90" s="6" t="str">
        <x:v>At month end rank 12m total return minus 1m T-bill return across predefined sector ETF list; buy strongest ETF only if excess&gt;0, else invest in short T-bill ETF (use historical total return).</x:v>
      </x:c>
      <x:c r="G90" s="6" t="str">
        <x:v>Rebalance next trading day opening; hold 1m.</x:v>
      </x:c>
      <x:c r="H90" s="6" t="str">
        <x:v>Lookback 3/6/12m; choose top 1/2/3; cash gate 0</x:v>
      </x:c>
      <x:c r="I90" s="6" t="str">
        <x:v>PORTFOLIO</x:v>
      </x:c>
      <x:c r="J90" s="6" t="str">
        <x:v>Based on time-series/cross-sectional momentum</x:v>
      </x:c>
      <x:c r="K90" s="6" t="str"/>
      <x:c r="L90" s="6" t="str"/>
      <x:c r="M90" s="6" t="str">
        <x:v>https://doi.org/10.1016/j.jfineco.2011.11.003</x:v>
      </x:c>
    </x:row>
    <x:row r="91" ht="44" customHeight="1">
      <x:c r="A91" s="6" t="str">
        <x:v>S090</x:v>
      </x:c>
      <x:c r="B91" s="6" t="str">
        <x:v>Position / cross-sectional factors</x:v>
      </x:c>
      <x:c r="C91" s="6" t="str">
        <x:v>Time-series momentum ETF</x:v>
      </x:c>
      <x:c r="D91" s="6" t="str">
        <x:v>ETF</x:v>
      </x:c>
      <x:c r="E91" s="6" t="str">
        <x:v>1mo</x:v>
      </x:c>
      <x:c r="F91" s="6" t="str">
        <x:v>Monthly for each ETF compute trailing 12m total return; long next month if &gt;risk-free return for period; otherwise hold cash (or mirror short as separate test).</x:v>
      </x:c>
      <x:c r="G91" s="6" t="str">
        <x:v>Rebalance next month open; volatility normalize by trailing 63d sigma.</x:v>
      </x:c>
      <x:c r="H91" s="6" t="str">
        <x:v>Lookback 3/6/12m; volatility 20/63d; long/cash vs long/short</x:v>
      </x:c>
      <x:c r="I91" s="6" t="str">
        <x:v>PORTFOLIO</x:v>
      </x:c>
      <x:c r="J91" s="6" t="str">
        <x:v>Futures effect documented, ETF transfer a hypothesis</x:v>
      </x:c>
      <x:c r="K91" s="6" t="str"/>
      <x:c r="L91" s="6" t="str"/>
      <x:c r="M91" s="6" t="str">
        <x:v>https://doi.org/10.1016/j.jfineco.2011.11.003</x:v>
      </x:c>
    </x:row>
    <x:row r="92" ht="44" customHeight="1">
      <x:c r="A92" s="6" t="str">
        <x:v>S091</x:v>
      </x:c>
      <x:c r="B92" s="6" t="str">
        <x:v>Position / cross-sectional factors</x:v>
      </x:c>
      <x:c r="C92" s="6" t="str">
        <x:v>Value factor (book-to-market)</x:v>
      </x:c>
      <x:c r="D92" s="6" t="str">
        <x:v>STK</x:v>
      </x:c>
      <x:c r="E92" s="6" t="str">
        <x:v>1mo</x:v>
      </x:c>
      <x:c r="F92" s="6" t="str">
        <x:v>At June end use latest filing-available prior fiscal-year book equity / December previous year market equity; within NYSE size breakpoints long top value decile, short bottom.</x:v>
      </x:c>
      <x:c r="G92" s="6" t="str">
        <x:v>Rebalance annually in July; track delists; release-lagged filings.</x:v>
      </x:c>
      <x:c r="H92" s="6" t="str">
        <x:v>Book-to-market deciles 10/20%; annual/semiannual</x:v>
      </x:c>
      <x:c r="I92" s="6" t="str">
        <x:v>CROSS_SECTION</x:v>
      </x:c>
      <x:c r="J92" s="6" t="str">
        <x:v>Research-backed factor</x:v>
      </x:c>
      <x:c r="K92" s="6" t="str">
        <x:v>Point-in-time financial statements and filing dates</x:v>
      </x:c>
      <x:c r="L92" s="6" t="str"/>
      <x:c r="M92" s="6" t="str">
        <x:v>https://mba.tuck.dartmouth.edu/pages/faculty/ken.french/Data_Library/f-f_factors.html</x:v>
      </x:c>
    </x:row>
    <x:row r="93" ht="44" customHeight="1">
      <x:c r="A93" s="6" t="str">
        <x:v>S092</x:v>
      </x:c>
      <x:c r="B93" s="6" t="str">
        <x:v>Position / cross-sectional factors</x:v>
      </x:c>
      <x:c r="C93" s="6" t="str">
        <x:v>Earnings yield value</x:v>
      </x:c>
      <x:c r="D93" s="6" t="str">
        <x:v>STK</x:v>
      </x:c>
      <x:c r="E93" s="6" t="str">
        <x:v>1mo</x:v>
      </x:c>
      <x:c r="F93" s="6" t="str">
        <x:v>At each quarter end rank trailing-12m reported earnings / current market cap, only filings public before signal; long top quintile, short bottom among positive earners.</x:v>
      </x:c>
      <x:c r="G93" s="6" t="str">
        <x:v>Rebalance quarterly.</x:v>
      </x:c>
      <x:c r="H93" s="6" t="str">
        <x:v>TTM/recent FY; top 10/20%; exclude negatives yes/no</x:v>
      </x:c>
      <x:c r="I93" s="6" t="str">
        <x:v>CROSS_SECTION</x:v>
      </x:c>
      <x:c r="J93" s="6" t="str">
        <x:v>Hypothesis</x:v>
      </x:c>
      <x:c r="K93" s="6" t="str"/>
      <x:c r="L93" s="6" t="str"/>
      <x:c r="M93" s="6" t="str">
        <x:v>https://mba.tuck.dartmouth.edu/pages/faculty/ken.french/Data_Library/f-f_factors.html</x:v>
      </x:c>
    </x:row>
    <x:row r="94" ht="44" customHeight="1">
      <x:c r="A94" s="6" t="str">
        <x:v>S093</x:v>
      </x:c>
      <x:c r="B94" s="6" t="str">
        <x:v>Position / cross-sectional factors</x:v>
      </x:c>
      <x:c r="C94" s="6" t="str">
        <x:v>Free-cash-flow yield value</x:v>
      </x:c>
      <x:c r="D94" s="6" t="str">
        <x:v>STK</x:v>
      </x:c>
      <x:c r="E94" s="6" t="str">
        <x:v>1mo</x:v>
      </x:c>
      <x:c r="F94" s="6" t="str">
        <x:v>Rank (cash flow from operations - capital expenditures TTM)/enterprise value (EV positive), with publication lag; long top quintile, short bottom.</x:v>
      </x:c>
      <x:c r="G94" s="6" t="str">
        <x:v>Quarterly rebalance; handle negative FCF and EV explicitly.</x:v>
      </x:c>
      <x:c r="H94" s="6" t="str">
        <x:v>Rank 10/20%; lag filing date exactly/30d</x:v>
      </x:c>
      <x:c r="I94" s="6" t="str">
        <x:v>CROSS_SECTION</x:v>
      </x:c>
      <x:c r="J94" s="6" t="str">
        <x:v>Hypothesis</x:v>
      </x:c>
      <x:c r="K94" s="6" t="str"/>
      <x:c r="L94" s="6" t="str"/>
      <x:c r="M94" s="6" t="str">
        <x:v>https://mba.tuck.dartmouth.edu/pages/faculty/ken.french/Data_Library/f-f_factors.html</x:v>
      </x:c>
    </x:row>
    <x:row r="95" ht="44" customHeight="1">
      <x:c r="A95" s="6" t="str">
        <x:v>S094</x:v>
      </x:c>
      <x:c r="B95" s="6" t="str">
        <x:v>Position / cross-sectional factors</x:v>
      </x:c>
      <x:c r="C95" s="6" t="str">
        <x:v>Gross profitability factor</x:v>
      </x:c>
      <x:c r="D95" s="6" t="str">
        <x:v>STK</x:v>
      </x:c>
      <x:c r="E95" s="6" t="str">
        <x:v>1mo</x:v>
      </x:c>
      <x:c r="F95" s="6" t="str">
        <x:v>Gross profits divided by assets from latest public annual report; within size buckets long top quintile, short bottom, enter next open.</x:v>
      </x:c>
      <x:c r="G95" s="6" t="str">
        <x:v>Annual June rebalance and monthly maintenance.</x:v>
      </x:c>
      <x:c r="H95" s="6" t="str">
        <x:v>Rank decile/quintile; annual vs quarterly update</x:v>
      </x:c>
      <x:c r="I95" s="6" t="str">
        <x:v>CROSS_SECTION</x:v>
      </x:c>
      <x:c r="J95" s="6" t="str">
        <x:v>Research-backed mechanism</x:v>
      </x:c>
      <x:c r="K95" s="6" t="str"/>
      <x:c r="L95" s="6" t="str"/>
      <x:c r="M95" s="6" t="str">
        <x:v>https://www.aqr.com/insights/research/working-paper/quality-minus-junk</x:v>
      </x:c>
    </x:row>
    <x:row r="96" ht="44" customHeight="1">
      <x:c r="A96" s="6" t="str">
        <x:v>S095</x:v>
      </x:c>
      <x:c r="B96" s="6" t="str">
        <x:v>Position / cross-sectional factors</x:v>
      </x:c>
      <x:c r="C96" s="6" t="str">
        <x:v>Quality minus junk composite</x:v>
      </x:c>
      <x:c r="D96" s="6" t="str">
        <x:v>STK</x:v>
      </x:c>
      <x:c r="E96" s="6" t="str">
        <x:v>1mo</x:v>
      </x:c>
      <x:c r="F96" s="6" t="str">
        <x:v>For each industry cross-section z-score ROE, gross profit/assets, 5y sales growth, -debt/assets, -earnings volatility; mean available z; long top decile and short bottom.</x:v>
      </x:c>
      <x:c r="G96" s="6" t="str">
        <x:v>Monthly rebalance; 60/60 long/short; sector neutrality.</x:v>
      </x:c>
      <x:c r="H96" s="6" t="str">
        <x:v>5 metrics equal vs weighted; top 10/20%; trim winsorize 1/5%</x:v>
      </x:c>
      <x:c r="I96" s="6" t="str">
        <x:v>CROSS_SECTION</x:v>
      </x:c>
      <x:c r="J96" s="6" t="str">
        <x:v>Research-backed mechanism; specified composite differs from exact paper</x:v>
      </x:c>
      <x:c r="K96" s="6" t="str"/>
      <x:c r="L96" s="6" t="str"/>
      <x:c r="M96" s="6" t="str">
        <x:v>https://www.aqr.com/insights/research/working-paper/quality-minus-junk</x:v>
      </x:c>
    </x:row>
    <x:row r="97" ht="44" customHeight="1">
      <x:c r="A97" s="6" t="str">
        <x:v>S096</x:v>
      </x:c>
      <x:c r="B97" s="6" t="str">
        <x:v>Position / cross-sectional factors</x:v>
      </x:c>
      <x:c r="C97" s="6" t="str">
        <x:v>Low-volatility equity factor</x:v>
      </x:c>
      <x:c r="D97" s="6" t="str">
        <x:v>STK</x:v>
      </x:c>
      <x:c r="E97" s="6" t="str">
        <x:v>1mo</x:v>
      </x:c>
      <x:c r="F97" s="6" t="str">
        <x:v>At each month end estimate 252d daily realized volatility; long bottom decile stocks, short top decile stocks, NYSE size-bucket neutral.</x:v>
      </x:c>
      <x:c r="G97" s="6" t="str">
        <x:v>Monthly rebalance; sector neutral optional.</x:v>
      </x:c>
      <x:c r="H97" s="6" t="str">
        <x:v>Vol lookback 63/126/252; decile/quintile</x:v>
      </x:c>
      <x:c r="I97" s="6" t="str">
        <x:v>CROSS_SECTION</x:v>
      </x:c>
      <x:c r="J97" s="6" t="str">
        <x:v>Hypothesis</x:v>
      </x:c>
      <x:c r="K97" s="6" t="str"/>
      <x:c r="L97" s="6" t="str"/>
      <x:c r="M97" s="6" t="str">
        <x:v>https://mba.tuck.dartmouth.edu/pages/faculty/ken.french/Data_Library/f-f_factors.html</x:v>
      </x:c>
    </x:row>
    <x:row r="98" ht="44" customHeight="1">
      <x:c r="A98" s="6" t="str">
        <x:v>S097</x:v>
      </x:c>
      <x:c r="B98" s="6" t="str">
        <x:v>Position / cross-sectional factors</x:v>
      </x:c>
      <x:c r="C98" s="6" t="str">
        <x:v>Low-beta defensive factor</x:v>
      </x:c>
      <x:c r="D98" s="6" t="str">
        <x:v>STK</x:v>
      </x:c>
      <x:c r="E98" s="6" t="str">
        <x:v>1mo</x:v>
      </x:c>
      <x:c r="F98" s="6" t="str">
        <x:v>Compute trailing 252d OLS beta to SPY; long lowest beta quintile, short highest beta quintile; target equal beta gross exposure rather than equal dollars.</x:v>
      </x:c>
      <x:c r="G98" s="6" t="str">
        <x:v>Monthly rebalance; beta neutral, leverage and borrowing constrained.</x:v>
      </x:c>
      <x:c r="H98" s="6" t="str">
        <x:v>beta lookback 126/252; shrink 0/.5 to 1</x:v>
      </x:c>
      <x:c r="I98" s="6" t="str">
        <x:v>CROSS_SECTION</x:v>
      </x:c>
      <x:c r="J98" s="6" t="str">
        <x:v>Hypothesis</x:v>
      </x:c>
      <x:c r="K98" s="6" t="str"/>
      <x:c r="L98" s="6" t="str"/>
      <x:c r="M98" s="6" t="str">
        <x:v>https://www.aqr.com/insights/research/working-paper/quality-minus-junk</x:v>
      </x:c>
    </x:row>
    <x:row r="99" ht="44" customHeight="1">
      <x:c r="A99" s="6" t="str">
        <x:v>S098</x:v>
      </x:c>
      <x:c r="B99" s="6" t="str">
        <x:v>Position / cross-sectional factors</x:v>
      </x:c>
      <x:c r="C99" s="6" t="str">
        <x:v>Shareholder yield</x:v>
      </x:c>
      <x:c r="D99" s="6" t="str">
        <x:v>STK</x:v>
      </x:c>
      <x:c r="E99" s="6" t="str">
        <x:v>1mo</x:v>
      </x:c>
      <x:c r="F99" s="6" t="str">
        <x:v>Quarterly rank cash dividends yield + net share repurchase yield (net issuance negative); public filing only; long top quintile/short bottom.</x:v>
      </x:c>
      <x:c r="G99" s="6" t="str">
        <x:v>Rebalance quarterly; dividend adjusted total return.</x:v>
      </x:c>
      <x:c r="H99" s="6" t="str">
        <x:v>TTM/3y net issuance; rank 10/20%</x:v>
      </x:c>
      <x:c r="I99" s="6" t="str">
        <x:v>CROSS_SECTION</x:v>
      </x:c>
      <x:c r="J99" s="6" t="str">
        <x:v>Hypothesis</x:v>
      </x:c>
      <x:c r="K99" s="6" t="str"/>
      <x:c r="L99" s="6" t="str"/>
      <x:c r="M99" s="6" t="str">
        <x:v>https://mba.tuck.dartmouth.edu/pages/faculty/ken.french/Data_Library/f-f_factors.html</x:v>
      </x:c>
    </x:row>
    <x:row r="100" ht="44" customHeight="1">
      <x:c r="A100" s="6" t="str">
        <x:v>S099</x:v>
      </x:c>
      <x:c r="B100" s="6" t="str">
        <x:v>Position / cross-sectional factors</x:v>
      </x:c>
      <x:c r="C100" s="6" t="str">
        <x:v>Investment (conservative minus aggressive)</x:v>
      </x:c>
      <x:c r="D100" s="6" t="str">
        <x:v>STK</x:v>
      </x:c>
      <x:c r="E100" s="6" t="str">
        <x:v>1mo</x:v>
      </x:c>
      <x:c r="F100" s="6" t="str">
        <x:v>At June end rank fiscal year asset growth=(A_t-A_{t-1})/A_{t-1} using public filings; long bottom quintile, short top quintile.</x:v>
      </x:c>
      <x:c r="G100" s="6" t="str">
        <x:v>Rebalance following first July open annually.</x:v>
      </x:c>
      <x:c r="H100" s="6" t="str">
        <x:v>Asset growth window 1/2y; deciles 10/20%</x:v>
      </x:c>
      <x:c r="I100" s="6" t="str">
        <x:v>CROSS_SECTION</x:v>
      </x:c>
      <x:c r="J100" s="6" t="str">
        <x:v>Research-backed factor</x:v>
      </x:c>
      <x:c r="K100" s="6" t="str"/>
      <x:c r="L100" s="6" t="str"/>
      <x:c r="M100" s="6" t="str">
        <x:v>https://mba.tuck.dartmouth.edu/pages/faculty/ken.french/Data_Library/f-f_factors.html</x:v>
      </x:c>
    </x:row>
    <x:row r="101" ht="44" customHeight="1">
      <x:c r="A101" s="6" t="str">
        <x:v>S100</x:v>
      </x:c>
      <x:c r="B101" s="6" t="str">
        <x:v>Position / cross-sectional factors</x:v>
      </x:c>
      <x:c r="C101" s="6" t="str">
        <x:v>Multifactor value-quality-momentum</x:v>
      </x:c>
      <x:c r="D101" s="6" t="str">
        <x:v>STK</x:v>
      </x:c>
      <x:c r="E101" s="6" t="str">
        <x:v>1mo</x:v>
      </x:c>
      <x:c r="F101" s="6" t="str">
        <x:v>Monthly industry z-score book-to-market, ROA, and 12-2 momentum; combined score=(zV+zQ+zM)/3; long top decile, short bottom.</x:v>
      </x:c>
      <x:c r="G101" s="6" t="str">
        <x:v>Rebalance monthly with 15% monthly turnover optional cap.</x:v>
      </x:c>
      <x:c r="H101" s="6" t="str">
        <x:v>Weights 1/3 equal vs 0.25/0.25/0.5; rank 10/20%</x:v>
      </x:c>
      <x:c r="I101" s="6" t="str">
        <x:v>CROSS_SECTION</x:v>
      </x:c>
      <x:c r="J101" s="6" t="str">
        <x:v>Hypothesis on combined specification</x:v>
      </x:c>
      <x:c r="K101" s="6" t="str"/>
      <x:c r="L101" s="6" t="str"/>
      <x:c r="M101" s="6" t="str">
        <x:v>https://mba.tuck.dartmouth.edu/pages/faculty/ken.french/Data_Library/f-f_factors.html</x:v>
      </x:c>
    </x:row>
    <x:row r="102" ht="44" customHeight="1">
      <x:c r="A102" s="6" t="str">
        <x:v>S101</x:v>
      </x:c>
      <x:c r="B102" s="6" t="str">
        <x:v>Position / cross-sectional factors</x:v>
      </x:c>
      <x:c r="C102" s="6" t="str">
        <x:v>ETF defensive asset rotation</x:v>
      </x:c>
      <x:c r="D102" s="6" t="str">
        <x:v>ETF</x:v>
      </x:c>
      <x:c r="E102" s="6" t="str">
        <x:v>1mo</x:v>
      </x:c>
      <x:c r="F102" s="6" t="str">
        <x:v>Universe historical 1 broad equity, 1 intermediate T-note, 1 gold ETF, 1 short Treasury ETF; rank 3m excess total returns; buy top ETF if return&gt;0 else short-T bills.</x:v>
      </x:c>
      <x:c r="G102" s="6" t="str">
        <x:v>Monthly rebalance; hold 1m; no in-sample universe selection.</x:v>
      </x:c>
      <x:c r="H102" s="6" t="str">
        <x:v>Lookback 1/3/6/12m; top 1/2; gate yes/no</x:v>
      </x:c>
      <x:c r="I102" s="6" t="str">
        <x:v>PORTFOLIO</x:v>
      </x:c>
      <x:c r="J102" s="6" t="str">
        <x:v>Hypothesis</x:v>
      </x:c>
      <x:c r="K102" s="6" t="str"/>
      <x:c r="L102" s="6" t="str"/>
      <x:c r="M102" s="6" t="str">
        <x:v>https://doi.org/10.1016/j.jfineco.2011.11.003</x:v>
      </x:c>
    </x:row>
    <x:row r="103" ht="44" customHeight="1">
      <x:c r="A103" s="6" t="str">
        <x:v>S102</x:v>
      </x:c>
      <x:c r="B103" s="6" t="str">
        <x:v>Position / cross-sectional factors</x:v>
      </x:c>
      <x:c r="C103" s="6" t="str">
        <x:v>Top-N sector relative strength</x:v>
      </x:c>
      <x:c r="D103" s="6" t="str">
        <x:v>ETF</x:v>
      </x:c>
      <x:c r="E103" s="6" t="str">
        <x:v>1mo</x:v>
      </x:c>
      <x:c r="F103" s="6" t="str">
        <x:v>At month end rank eligible fixed sector ETFs by 6m return, choose top 3 if each return&gt;3m Tbill; equal capital weight.</x:v>
      </x:c>
      <x:c r="G103" s="6" t="str">
        <x:v>Monthly rebalance next session; cash in T-bill ETF for unfilled slots.</x:v>
      </x:c>
      <x:c r="H103" s="6" t="str">
        <x:v>Lookback 3/6/12m; N 1/3/5</x:v>
      </x:c>
      <x:c r="I103" s="6" t="str">
        <x:v>PORTFOLIO</x:v>
      </x:c>
      <x:c r="J103" s="6" t="str">
        <x:v>Hypothesis</x:v>
      </x:c>
      <x:c r="K103" s="6" t="str"/>
      <x:c r="L103" s="6" t="str"/>
      <x:c r="M103" s="6" t="str">
        <x:v>https://doi.org/10.1016/j.jfineco.2011.11.003</x:v>
      </x:c>
    </x:row>
    <x:row r="104" ht="44" customHeight="1">
      <x:c r="A104" s="6" t="str">
        <x:v>S103</x:v>
      </x:c>
      <x:c r="B104" s="6" t="str">
        <x:v>Position / cross-sectional factors</x:v>
      </x:c>
      <x:c r="C104" s="6" t="str">
        <x:v>200d trend-filtered buy-and-hold</x:v>
      </x:c>
      <x:c r="D104" s="6" t="str">
        <x:v>ETF</x:v>
      </x:c>
      <x:c r="E104" s="6" t="str">
        <x:v>1d</x:v>
      </x:c>
      <x:c r="F104" s="6" t="str">
        <x:v>Hold SPY if last close&gt;SMA200; otherwise hold 1-3m Treasury proxy; compute signal close then buy next open.</x:v>
      </x:c>
      <x:c r="G104" s="6" t="str">
        <x:v>Update only after daily signal changes; execute following open.</x:v>
      </x:c>
      <x:c r="H104" s="6" t="str">
        <x:v>SMA 150/200/250; hysteresis 0/1/2%</x:v>
      </x:c>
      <x:c r="I104" s="6" t="str">
        <x:v>PORTFOLIO</x:v>
      </x:c>
      <x:c r="J104" s="6" t="str">
        <x:v>Hypothesis</x:v>
      </x:c>
      <x:c r="K104" s="6" t="str"/>
      <x:c r="L104" s="6" t="str"/>
      <x:c r="M104" s="6" t="str">
        <x:v>https://doi.org/10.1016/j.jfineco.2011.11.003</x:v>
      </x:c>
    </x:row>
    <x:row r="105" ht="44" customHeight="1">
      <x:c r="A105" s="6" t="str">
        <x:v>S104</x:v>
      </x:c>
      <x:c r="B105" s="6" t="str">
        <x:v>Position / cross-sectional factors</x:v>
      </x:c>
      <x:c r="C105" s="6" t="str">
        <x:v>Volatility targeting equity ETF</x:v>
      </x:c>
      <x:c r="D105" s="6" t="str">
        <x:v>ETF</x:v>
      </x:c>
      <x:c r="E105" s="6" t="str">
        <x:v>1d</x:v>
      </x:c>
      <x:c r="F105" s="6" t="str">
        <x:v>Compute 20d annualized realized sigma using prior closing returns; at next open hold SPY exposure min(1.5,0.12/sigma); cash earning Tbill on residual.</x:v>
      </x:c>
      <x:c r="G105" s="6" t="str">
        <x:v>Rebalance weekly Monday open; limit daily turnover to 20% equity; avoid leveraged product proxy unless instrument matches.</x:v>
      </x:c>
      <x:c r="H105" s="6" t="str">
        <x:v>Target vol 8/12/15%; lookback 20/63; cap 1/1.5</x:v>
      </x:c>
      <x:c r="I105" s="6" t="str">
        <x:v>PORTFOLIO</x:v>
      </x:c>
      <x:c r="J105" s="6" t="str">
        <x:v>Hypothesis</x:v>
      </x:c>
      <x:c r="K105" s="6" t="str"/>
      <x:c r="L105" s="6" t="str"/>
      <x:c r="M105" s="6" t="str">
        <x:v>https://www.aqr.com/insights/research/working-paper/quality-minus-junk</x:v>
      </x:c>
    </x:row>
    <x:row r="106" ht="44" customHeight="1">
      <x:c r="A106" s="6" t="str">
        <x:v>S105</x:v>
      </x:c>
      <x:c r="B106" s="6" t="str">
        <x:v>Position / cross-sectional factors</x:v>
      </x:c>
      <x:c r="C106" s="6" t="str">
        <x:v>Monthly 60/40 balanced allocation</x:v>
      </x:c>
      <x:c r="D106" s="6" t="str">
        <x:v>ETF</x:v>
      </x:c>
      <x:c r="E106" s="6" t="str">
        <x:v>1mo</x:v>
      </x:c>
      <x:c r="F106" s="6" t="str">
        <x:v>Buy equity ETF at 60% NAV and T-note ETF at 40% at first possible session; total-return prices.</x:v>
      </x:c>
      <x:c r="G106" s="6" t="str">
        <x:v>At month end rebalance to 60/40 next open; include expense ratios and distributions.</x:v>
      </x:c>
      <x:c r="H106" s="6" t="str">
        <x:v>Equity fraction 40/60/80%; frequency quarterly/monthly</x:v>
      </x:c>
      <x:c r="I106" s="6" t="str">
        <x:v>PORTFOLIO</x:v>
      </x:c>
      <x:c r="J106" s="6" t="str">
        <x:v>Benchmark strategy, not alpha claim</x:v>
      </x:c>
      <x:c r="K106" s="6" t="str"/>
      <x:c r="L106" s="6" t="str"/>
      <x:c r="M106" s="6" t="str">
        <x:v>https://mba.tuck.dartmouth.edu/pages/faculty/ken.french/Data_Library/f-f_factors.html</x:v>
      </x:c>
    </x:row>
    <x:row r="107" ht="44" customHeight="1">
      <x:c r="A107" s="6" t="str">
        <x:v>S106</x:v>
      </x:c>
      <x:c r="B107" s="6" t="str">
        <x:v>Statistical arbitrage / relative value</x:v>
      </x:c>
      <x:c r="C107" s="6" t="str">
        <x:v>Distance pairs trading</x:v>
      </x:c>
      <x:c r="D107" s="6" t="str">
        <x:v>STK</x:v>
      </x:c>
      <x:c r="E107" s="6" t="str">
        <x:v>1d</x:v>
      </x:c>
      <x:c r="F107" s="6" t="str">
        <x:v>Form eligible same-sector stock pairs using 252d sum squared distance of normalized total-return prices; choose best 20 nonoverlapping pairs; spread=z of standardized normalized difference; enter short-rich long-cheap if |z|&gt;=2.</x:v>
      </x:c>
      <x:c r="G107" s="6" t="str">
        <x:v>Close pair at |z|&lt;=0.5, z beyond 4, or after 60d; hedge equal dollars.</x:v>
      </x:c>
      <x:c r="H107" s="6" t="str">
        <x:v>Lookback 126/252; z 1.5/2/2.5; exit 0/0.5</x:v>
      </x:c>
      <x:c r="I107" s="6" t="str">
        <x:v>PAIRS</x:v>
      </x:c>
      <x:c r="J107" s="6" t="str">
        <x:v>Research-backed family; baseline thresholds</x:v>
      </x:c>
      <x:c r="K107" s="6" t="str"/>
      <x:c r="L107" s="6" t="str"/>
      <x:c r="M107" s="6" t="str">
        <x:v>https://doi.org/10.1093/rfs/hhj020</x:v>
      </x:c>
    </x:row>
    <x:row r="108" ht="44" customHeight="1">
      <x:c r="A108" s="6" t="str">
        <x:v>S107</x:v>
      </x:c>
      <x:c r="B108" s="6" t="str">
        <x:v>Statistical arbitrage / relative value</x:v>
      </x:c>
      <x:c r="C108" s="6" t="str">
        <x:v>Cointegrated stock pairs</x:v>
      </x:c>
      <x:c r="D108" s="6" t="str">
        <x:v>STK</x:v>
      </x:c>
      <x:c r="E108" s="6" t="str">
        <x:v>1d</x:v>
      </x:c>
      <x:c r="F108" s="6" t="str">
        <x:v>For industry pairs use 252d Engle-Granger residual ADF p&lt;0.05, OLS hedge beta fixed in formation, z residual using 60d prior rolling sigma; enter |z|&gt;2.</x:v>
      </x:c>
      <x:c r="G108" s="6" t="str">
        <x:v>Close z crosses 0, ADF cointegration fails at monthly review, or 30d.</x:v>
      </x:c>
      <x:c r="H108" s="6" t="str">
        <x:v>p .01/.05; z 1.5/2.5; hedge 126/252</x:v>
      </x:c>
      <x:c r="I108" s="6" t="str">
        <x:v>PAIRS</x:v>
      </x:c>
      <x:c r="J108" s="6" t="str">
        <x:v>Hypothesis</x:v>
      </x:c>
      <x:c r="K108" s="6" t="str"/>
      <x:c r="L108" s="6" t="str"/>
      <x:c r="M108" s="6" t="str">
        <x:v>https://doi.org/10.1093/rfs/hhj020</x:v>
      </x:c>
    </x:row>
    <x:row r="109" ht="44" customHeight="1">
      <x:c r="A109" s="6" t="str">
        <x:v>S108</x:v>
      </x:c>
      <x:c r="B109" s="6" t="str">
        <x:v>Statistical arbitrage / relative value</x:v>
      </x:c>
      <x:c r="C109" s="6" t="str">
        <x:v>Kalman-filter adaptive pairs</x:v>
      </x:c>
      <x:c r="D109" s="6" t="str">
        <x:v>STK</x:v>
      </x:c>
      <x:c r="E109" s="6" t="str">
        <x:v>1d</x:v>
      </x:c>
      <x:c r="F109" s="6" t="str">
        <x:v>Within predeclared paired ETFs e.g. same-sector funds, estimate dynamic hedge coefficient via one-step-ahead Kalman filter; long spread when filtered innovation z&lt;-2, short z&gt;2.</x:v>
      </x:c>
      <x:c r="G109" s="6" t="str">
        <x:v>Exit |z|&lt;0.5 or 20d; constrain beta coefficient [0.5,2].</x:v>
      </x:c>
      <x:c r="H109" s="6" t="str">
        <x:v>Q/R process ratio .001/.01; z 1.5/2/2.5</x:v>
      </x:c>
      <x:c r="I109" s="6" t="str">
        <x:v>PAIRS</x:v>
      </x:c>
      <x:c r="J109" s="6" t="str">
        <x:v>Hypothesis</x:v>
      </x:c>
      <x:c r="K109" s="6" t="str">
        <x:v>Use filter UPDATE only after observation; trade at next open</x:v>
      </x:c>
      <x:c r="L109" s="6" t="str"/>
      <x:c r="M109" s="6" t="str">
        <x:v>https://doi.org/10.1093/rfs/hhj020</x:v>
      </x:c>
    </x:row>
    <x:row r="110" ht="44" customHeight="1">
      <x:c r="A110" s="6" t="str">
        <x:v>S109</x:v>
      </x:c>
      <x:c r="B110" s="6" t="str">
        <x:v>Statistical arbitrage / relative value</x:v>
      </x:c>
      <x:c r="C110" s="6" t="str">
        <x:v>Sector-neutral residual equity spread</x:v>
      </x:c>
      <x:c r="D110" s="6" t="str">
        <x:v>STK</x:v>
      </x:c>
      <x:c r="E110" s="6" t="str">
        <x:v>1d</x:v>
      </x:c>
      <x:c r="F110" s="6" t="str">
        <x:v>Rolling 252d regression stock daily return vs SPY and corresponding fixed sector ETF; long bottom 10% of cumulative 5-day regression residuals and short top 10%.</x:v>
      </x:c>
      <x:c r="G110" s="6" t="str">
        <x:v>Exit after 5d, rebalance Friday; beta and sector neutral.</x:v>
      </x:c>
      <x:c r="H110" s="6" t="str">
        <x:v>Residual 3/5/10d; selection 5/10/20%</x:v>
      </x:c>
      <x:c r="I110" s="6" t="str">
        <x:v>PAIRS</x:v>
      </x:c>
      <x:c r="J110" s="6" t="str">
        <x:v>Hypothesis</x:v>
      </x:c>
      <x:c r="K110" s="6" t="str"/>
      <x:c r="L110" s="6" t="str"/>
      <x:c r="M110" s="6" t="str">
        <x:v>https://doi.org/10.2307/2937816</x:v>
      </x:c>
    </x:row>
    <x:row r="111" ht="44" customHeight="1">
      <x:c r="A111" s="6" t="str">
        <x:v>S110</x:v>
      </x:c>
      <x:c r="B111" s="6" t="str">
        <x:v>Statistical arbitrage / relative value</x:v>
      </x:c>
      <x:c r="C111" s="6" t="str">
        <x:v>ETF tracking discount convergence proxy</x:v>
      </x:c>
      <x:c r="D111" s="6" t="str">
        <x:v>ETF</x:v>
      </x:c>
      <x:c r="E111" s="6" t="str">
        <x:v>1d</x:v>
      </x:c>
      <x:c r="F111" s="6" t="str">
        <x:v>If timestamped published official intraday iNAV and ETF quote are available simultaneously, enter when mid-iNAV deviation &lt; -0.5% and estimated basket spread lower than deviation.</x:v>
      </x:c>
      <x:c r="G111" s="6" t="str">
        <x:v>Exit deviation within 0.1% or day close; skip stale/illiquid NAV; no guaranteed creation/redemption access.</x:v>
      </x:c>
      <x:c r="H111" s="6" t="str">
        <x:v>Deviation 20/50/100bp; stale quote 1/5/10 sec</x:v>
      </x:c>
      <x:c r="I111" s="6" t="str">
        <x:v>PAIRS</x:v>
      </x:c>
      <x:c r="J111" s="6" t="str">
        <x:v>Hypothesis</x:v>
      </x:c>
      <x:c r="K111" s="6" t="str"/>
      <x:c r="L111" s="6" t="str">
        <x:v>iNAV staleness, no retail arbitrage access</x:v>
      </x:c>
      <x:c r="M111" s="6" t="str">
        <x:v>https://www.investor.gov/introduction-investing/general-resources/news-alerts/alerts-bulletins/investor-alerts/sec</x:v>
      </x:c>
    </x:row>
    <x:row r="112" ht="44" customHeight="1">
      <x:c r="A112" s="6" t="str">
        <x:v>S111</x:v>
      </x:c>
      <x:c r="B112" s="6" t="str">
        <x:v>Statistical arbitrage / relative value</x:v>
      </x:c>
      <x:c r="C112" s="6" t="str">
        <x:v>Same-index ETF spread</x:v>
      </x:c>
      <x:c r="D112" s="6" t="str">
        <x:v>ETF</x:v>
      </x:c>
      <x:c r="E112" s="6" t="str">
        <x:v>1d</x:v>
      </x:c>
      <x:c r="F112" s="6" t="str">
        <x:v>Pair two ETFs tracking same published index; compute 126d total-return ratio z; buy cheap short expensive at |z|&gt;2 with dollar-neutral exposure.</x:v>
      </x:c>
      <x:c r="G112" s="6" t="str">
        <x:v>Exit z within 0.25; borrow, dividends and expense drag.</x:v>
      </x:c>
      <x:c r="H112" s="6" t="str">
        <x:v>Z lookback 60/126/252; enter 1.5/2</x:v>
      </x:c>
      <x:c r="I112" s="6" t="str">
        <x:v>PAIRS</x:v>
      </x:c>
      <x:c r="J112" s="6" t="str">
        <x:v>Hypothesis</x:v>
      </x:c>
      <x:c r="K112" s="6" t="str"/>
      <x:c r="L112" s="6" t="str"/>
      <x:c r="M112" s="6" t="str">
        <x:v>https://doi.org/10.1093/rfs/hhj020</x:v>
      </x:c>
    </x:row>
    <x:row r="113" ht="44" customHeight="1">
      <x:c r="A113" s="6" t="str">
        <x:v>S112</x:v>
      </x:c>
      <x:c r="B113" s="6" t="str">
        <x:v>Statistical arbitrage / relative value</x:v>
      </x:c>
      <x:c r="C113" s="6" t="str">
        <x:v>PCA residual statistical arbitrage</x:v>
      </x:c>
      <x:c r="D113" s="6" t="str">
        <x:v>STK</x:v>
      </x:c>
      <x:c r="E113" s="6" t="str">
        <x:v>1d</x:v>
      </x:c>
      <x:c r="F113" s="6" t="str">
        <x:v>For PIT universe top 100 liquid stocks run PCA on 252d covariance through t-1; reconstruct daily returns using first 5 PCs; cumulate residual over 5d; buy bottom decile sell top.</x:v>
      </x:c>
      <x:c r="G113" s="6" t="str">
        <x:v>Exit 5 trading days later or if residual z crosses 0; net beta neutral.</x:v>
      </x:c>
      <x:c r="H113" s="6" t="str">
        <x:v>PCs 3/5/10; formation 126/252; residual 3/5/10d</x:v>
      </x:c>
      <x:c r="I113" s="6" t="str">
        <x:v>PAIRS</x:v>
      </x:c>
      <x:c r="J113" s="6" t="str">
        <x:v>Hypothesis</x:v>
      </x:c>
      <x:c r="K113" s="6" t="str">
        <x:v>Refit only with observations public at signal date</x:v>
      </x:c>
      <x:c r="L113" s="6" t="str"/>
      <x:c r="M113" s="6" t="str">
        <x:v>https://doi.org/10.1093/rfs/hhj020</x:v>
      </x:c>
    </x:row>
    <x:row r="114" ht="44" customHeight="1">
      <x:c r="A114" s="6" t="str">
        <x:v>S113</x:v>
      </x:c>
      <x:c r="B114" s="6" t="str">
        <x:v>Statistical arbitrage / relative value</x:v>
      </x:c>
      <x:c r="C114" s="6" t="str">
        <x:v>Beta-neutral relative strength pairs</x:v>
      </x:c>
      <x:c r="D114" s="6" t="str">
        <x:v>STK</x:v>
      </x:c>
      <x:c r="E114" s="6" t="str">
        <x:v>1mo</x:v>
      </x:c>
      <x:c r="F114" s="6" t="str">
        <x:v>For matching industry pairs regress 126d beta; if 3m momentum difference &gt;20pp, long winner/short loser beta-adjusted (distinct from reversion).</x:v>
      </x:c>
      <x:c r="G114" s="6" t="str">
        <x:v>Close after one month; monthly re-sort.</x:v>
      </x:c>
      <x:c r="H114" s="6" t="str">
        <x:v>Momentum diff 10/20/30pp; beta fit 126/252</x:v>
      </x:c>
      <x:c r="I114" s="6" t="str">
        <x:v>PAIRS</x:v>
      </x:c>
      <x:c r="J114" s="6" t="str">
        <x:v>Hypothesis</x:v>
      </x:c>
      <x:c r="K114" s="6" t="str"/>
      <x:c r="L114" s="6" t="str"/>
      <x:c r="M114" s="6" t="str">
        <x:v>https://doi.org/10.1111/j.1540-6261.1993.tb04702.x</x:v>
      </x:c>
    </x:row>
    <x:row r="115" ht="44" customHeight="1">
      <x:c r="A115" s="6" t="str">
        <x:v>S114</x:v>
      </x:c>
      <x:c r="B115" s="6" t="str">
        <x:v>Statistical arbitrage / relative value</x:v>
      </x:c>
      <x:c r="C115" s="6" t="str">
        <x:v>ETF/sector basket lagged underreaction</x:v>
      </x:c>
      <x:c r="D115" s="6" t="str">
        <x:v>STK/ETF</x:v>
      </x:c>
      <x:c r="E115" s="6" t="str">
        <x:v>1d</x:v>
      </x:c>
      <x:c r="F115" s="6" t="str">
        <x:v>At day close a sector ETF daily return&gt;2σ, rank member stock beta-residual return; long member underperformers in that sector, short overperformers to neutral.</x:v>
      </x:c>
      <x:c r="G115" s="6" t="str">
        <x:v>Exit next close or 3d; costs, hard-to-borrow screened.</x:v>
      </x:c>
      <x:c r="H115" s="6" t="str">
        <x:v>shock 1.5/2/2.5σ; hold 1/3d</x:v>
      </x:c>
      <x:c r="I115" s="6" t="str">
        <x:v>PAIRS</x:v>
      </x:c>
      <x:c r="J115" s="6" t="str">
        <x:v>Hypothesis</x:v>
      </x:c>
      <x:c r="K115" s="6" t="str"/>
      <x:c r="L115" s="6" t="str"/>
      <x:c r="M115" s="6" t="str">
        <x:v>https://doi.org/10.2307/2937816</x:v>
      </x:c>
    </x:row>
    <x:row r="116" ht="44" customHeight="1">
      <x:c r="A116" s="6" t="str">
        <x:v>S115</x:v>
      </x:c>
      <x:c r="B116" s="6" t="str">
        <x:v>Statistical arbitrage / relative value</x:v>
      </x:c>
      <x:c r="C116" s="6" t="str">
        <x:v>Spread momentum after pairs breakout</x:v>
      </x:c>
      <x:c r="D116" s="6" t="str">
        <x:v>ETF</x:v>
      </x:c>
      <x:c r="E116" s="6" t="str">
        <x:v>1d</x:v>
      </x:c>
      <x:c r="F116" s="6" t="str">
        <x:v>If standardized spread of two ETFs exceeds prior 60d extreme and 20d spread slope same direction, trade with spread direction; not a reversion trade.</x:v>
      </x:c>
      <x:c r="G116" s="6" t="str">
        <x:v>Exit spread crosses 20d mean or 30d.</x:v>
      </x:c>
      <x:c r="H116" s="6" t="str">
        <x:v>Break 40/60/90; exit 10/20d mean</x:v>
      </x:c>
      <x:c r="I116" s="6" t="str">
        <x:v>PAIRS</x:v>
      </x:c>
      <x:c r="J116" s="6" t="str">
        <x:v>Hypothesis</x:v>
      </x:c>
      <x:c r="K116" s="6" t="str"/>
      <x:c r="L116" s="6" t="str"/>
      <x:c r="M116" s="6" t="str">
        <x:v>https://doi.org/10.1016/j.jfineco.2011.11.003</x:v>
      </x:c>
    </x:row>
    <x:row r="117" ht="44" customHeight="1">
      <x:c r="A117" s="6" t="str">
        <x:v>S116</x:v>
      </x:c>
      <x:c r="B117" s="6" t="str">
        <x:v>ETF-specific / allocations</x:v>
      </x:c>
      <x:c r="C117" s="6" t="str">
        <x:v>Broad-market ETF opening gap fade</x:v>
      </x:c>
      <x:c r="D117" s="6" t="str">
        <x:v>ETF</x:v>
      </x:c>
      <x:c r="E117" s="6" t="str">
        <x:v>1m</x:v>
      </x:c>
      <x:c r="F117" s="6" t="str">
        <x:v>Gap SPY/QQQ/IWM abs&gt;0.5%; at 09:40 trade toward prior-close only if first 10m closes back toward it at least 25%.</x:v>
      </x:c>
      <x:c r="G117" s="6" t="str">
        <x:v>Take at prior close or exit 15:55, stop opposite opening 10m extreme.</x:v>
      </x:c>
      <x:c r="H117" s="6" t="str">
        <x:v>Gap 0.3/0.5/0.75%; reversal 20/25/50%</x:v>
      </x:c>
      <x:c r="I117" s="6" t="str">
        <x:v>DAY_RISK</x:v>
      </x:c>
      <x:c r="J117" s="6" t="str">
        <x:v>Hypothesis</x:v>
      </x:c>
      <x:c r="K117" s="6" t="str"/>
      <x:c r="L117" s="6" t="str"/>
      <x:c r="M117" s="6" t="str">
        <x:v>https://www.nber.org/papers/w7613</x:v>
      </x:c>
    </x:row>
    <x:row r="118" ht="44" customHeight="1">
      <x:c r="A118" s="6" t="str">
        <x:v>S117</x:v>
      </x:c>
      <x:c r="B118" s="6" t="str">
        <x:v>ETF-specific / allocations</x:v>
      </x:c>
      <x:c r="C118" s="6" t="str">
        <x:v>Sector ETF monthly winner rotation</x:v>
      </x:c>
      <x:c r="D118" s="6" t="str">
        <x:v>ETF</x:v>
      </x:c>
      <x:c r="E118" s="6" t="str">
        <x:v>1mo</x:v>
      </x:c>
      <x:c r="F118" s="6" t="str">
        <x:v>Rank frozen universe of sector ETFs by prior calendar-month total return, buy best 2 next first RTH open.</x:v>
      </x:c>
      <x:c r="G118" s="6" t="str">
        <x:v>Hold next month, equal weight, monthly rebalance.</x:v>
      </x:c>
      <x:c r="H118" s="6" t="str">
        <x:v>Lookback 1/3/6m; N 1/2/3</x:v>
      </x:c>
      <x:c r="I118" s="6" t="str">
        <x:v>PORTFOLIO</x:v>
      </x:c>
      <x:c r="J118" s="6" t="str">
        <x:v>Hypothesis</x:v>
      </x:c>
      <x:c r="K118" s="6" t="str"/>
      <x:c r="L118" s="6" t="str"/>
      <x:c r="M118" s="6" t="str">
        <x:v>https://doi.org/10.1111/j.1540-6261.1993.tb04702.x</x:v>
      </x:c>
    </x:row>
    <x:row r="119" ht="44" customHeight="1">
      <x:c r="A119" s="6" t="str">
        <x:v>S118</x:v>
      </x:c>
      <x:c r="B119" s="6" t="str">
        <x:v>ETF-specific / allocations</x:v>
      </x:c>
      <x:c r="C119" s="6" t="str">
        <x:v>Leveraged ETF 200SMA gate</x:v>
      </x:c>
      <x:c r="D119" s="6" t="str">
        <x:v>ETF</x:v>
      </x:c>
      <x:c r="E119" s="6" t="str">
        <x:v>1d</x:v>
      </x:c>
      <x:c r="F119" s="6" t="str">
        <x:v>Hold a specified historically listed 2x or 3x daily reset ETF only when its unlevered reference ETF close&gt;SMA200 and reference 20d vol&lt;25% annualized; otherwise T-bills.</x:v>
      </x:c>
      <x:c r="G119" s="6" t="str">
        <x:v>Switch next open; no synthetic leveraged return scaling across multiple days.</x:v>
      </x:c>
      <x:c r="H119" s="6" t="str">
        <x:v>SMA150/200; vol threshold 20/25/30%</x:v>
      </x:c>
      <x:c r="I119" s="6" t="str">
        <x:v>PORTFOLIO</x:v>
      </x:c>
      <x:c r="J119" s="6" t="str">
        <x:v>Hypothesis</x:v>
      </x:c>
      <x:c r="K119" s="6" t="str">
        <x:v>Use ACTUAL daily-reset ETF total returns; inception dates</x:v>
      </x:c>
      <x:c r="L119" s="6" t="str"/>
      <x:c r="M119" s="6" t="str">
        <x:v>https://www.investor.gov/introduction-investing/general-resources/news-alerts/alerts-bulletins/investor-alerts/sec</x:v>
      </x:c>
    </x:row>
    <x:row r="120" ht="44" customHeight="1">
      <x:c r="A120" s="6" t="str">
        <x:v>S119</x:v>
      </x:c>
      <x:c r="B120" s="6" t="str">
        <x:v>ETF-specific / allocations</x:v>
      </x:c>
      <x:c r="C120" s="6" t="str">
        <x:v>Inverse ETF tactical hedge</x:v>
      </x:c>
      <x:c r="D120" s="6" t="str">
        <x:v>ETF</x:v>
      </x:c>
      <x:c r="E120" s="6" t="str">
        <x:v>1d</x:v>
      </x:c>
      <x:c r="F120" s="6" t="str">
        <x:v>If SPY close&lt;SMA200 and RSI14&lt;45, move 20% NAV to inverse -1x ETF, funded from SPY allocation; cash remainder as fixed baseline.</x:v>
      </x:c>
      <x:c r="G120" s="6" t="str">
        <x:v>Close inverse position if SPY close&gt;SMA200; rebalance weekly.</x:v>
      </x:c>
      <x:c r="H120" s="6" t="str">
        <x:v>Hedge fraction 10/20/30%; SMA150/200</x:v>
      </x:c>
      <x:c r="I120" s="6" t="str">
        <x:v>PORTFOLIO</x:v>
      </x:c>
      <x:c r="J120" s="6" t="str">
        <x:v>Hypothesis</x:v>
      </x:c>
      <x:c r="K120" s="6" t="str"/>
      <x:c r="L120" s="6" t="str">
        <x:v>Inverse ETF path dependence and reset</x:v>
      </x:c>
      <x:c r="M120" s="6" t="str">
        <x:v>https://www.investor.gov/introduction-investing/general-resources/news-alerts/alerts-bulletins/investor-alerts/sec</x:v>
      </x:c>
    </x:row>
    <x:row r="121" ht="44" customHeight="1">
      <x:c r="A121" s="6" t="str">
        <x:v>S120</x:v>
      </x:c>
      <x:c r="B121" s="6" t="str">
        <x:v>ETF-specific / allocations</x:v>
      </x:c>
      <x:c r="C121" s="6" t="str">
        <x:v>Volatility-managed sector basket</x:v>
      </x:c>
      <x:c r="D121" s="6" t="str">
        <x:v>ETF</x:v>
      </x:c>
      <x:c r="E121" s="6" t="str">
        <x:v>1mo</x:v>
      </x:c>
      <x:c r="F121" s="6" t="str">
        <x:v>Equal risk contributions approximated weights proportional to 1/63d sigma for fixed eligible sector ETF universe (exclude missing listing history).</x:v>
      </x:c>
      <x:c r="G121" s="6" t="str">
        <x:v>Monthly rebalance; cap each weight 30%, redistribute remainder iteratively.</x:v>
      </x:c>
      <x:c r="H121" s="6" t="str">
        <x:v>Sigma lookback 20/63/126; cap 20/30/40%</x:v>
      </x:c>
      <x:c r="I121" s="6" t="str">
        <x:v>PORTFOLIO</x:v>
      </x:c>
      <x:c r="J121" s="6" t="str">
        <x:v>Hypothesis</x:v>
      </x:c>
      <x:c r="K121" s="6" t="str"/>
      <x:c r="L121" s="6" t="str"/>
      <x:c r="M121" s="6" t="str">
        <x:v>https://www.aqr.com/insights/research/working-paper/quality-minus-junk</x:v>
      </x:c>
    </x:row>
    <x:row r="122" ht="44" customHeight="1">
      <x:c r="A122" s="6" t="str">
        <x:v>S121</x:v>
      </x:c>
      <x:c r="B122" s="6" t="str">
        <x:v>ETF-specific / allocations</x:v>
      </x:c>
      <x:c r="C122" s="6" t="str">
        <x:v>Bond-equity defensive switch</x:v>
      </x:c>
      <x:c r="D122" s="6" t="str">
        <x:v>ETF</x:v>
      </x:c>
      <x:c r="E122" s="6" t="str">
        <x:v>1mo</x:v>
      </x:c>
      <x:c r="F122" s="6" t="str">
        <x:v>At month end choose SPY if SPY 12m excess return &gt;0 and its 63d volatility&lt;=20%, else 1-3m Treasury ETF.</x:v>
      </x:c>
      <x:c r="G122" s="6" t="str">
        <x:v>Rebalance next first-month open.</x:v>
      </x:c>
      <x:c r="H122" s="6" t="str">
        <x:v>Trend 6/12m; vol 15/20/25%</x:v>
      </x:c>
      <x:c r="I122" s="6" t="str">
        <x:v>PORTFOLIO</x:v>
      </x:c>
      <x:c r="J122" s="6" t="str">
        <x:v>Hypothesis</x:v>
      </x:c>
      <x:c r="K122" s="6" t="str"/>
      <x:c r="L122" s="6" t="str"/>
      <x:c r="M122" s="6" t="str">
        <x:v>https://doi.org/10.1016/j.jfineco.2011.11.003</x:v>
      </x:c>
    </x:row>
    <x:row r="123" ht="44" customHeight="1">
      <x:c r="A123" s="6" t="str">
        <x:v>S122</x:v>
      </x:c>
      <x:c r="B123" s="6" t="str">
        <x:v>ETF-specific / allocations</x:v>
      </x:c>
      <x:c r="C123" s="6" t="str">
        <x:v>Cross-asset relative momentum ETFs</x:v>
      </x:c>
      <x:c r="D123" s="6" t="str">
        <x:v>ETF</x:v>
      </x:c>
      <x:c r="E123" s="6" t="str">
        <x:v>1mo</x:v>
      </x:c>
      <x:c r="F123" s="6" t="str">
        <x:v>Frozen diversified ETF basket (US equity, intl equity, T-bills, long Treasuries, gold, REITs); choose top 3 by 6m Sharpe (excess/vol), positive score required.</x:v>
      </x:c>
      <x:c r="G123" s="6" t="str">
        <x:v>Equal weight top 3 next-month open, fill cash otherwise.</x:v>
      </x:c>
      <x:c r="H123" s="6" t="str">
        <x:v>window 3/6/12m; N 2/3/4</x:v>
      </x:c>
      <x:c r="I123" s="6" t="str">
        <x:v>PORTFOLIO</x:v>
      </x:c>
      <x:c r="J123" s="6" t="str">
        <x:v>Hypothesis</x:v>
      </x:c>
      <x:c r="K123" s="6" t="str"/>
      <x:c r="L123" s="6" t="str"/>
      <x:c r="M123" s="6" t="str">
        <x:v>https://doi.org/10.1016/j.jfineco.2011.11.003</x:v>
      </x:c>
    </x:row>
    <x:row r="124" ht="44" customHeight="1">
      <x:c r="A124" s="6" t="str">
        <x:v>S123</x:v>
      </x:c>
      <x:c r="B124" s="6" t="str">
        <x:v>ETF-specific / allocations</x:v>
      </x:c>
      <x:c r="C124" s="6" t="str">
        <x:v>Equal weight vs cap weight spread</x:v>
      </x:c>
      <x:c r="D124" s="6" t="str">
        <x:v>ETF</x:v>
      </x:c>
      <x:c r="E124" s="6" t="str">
        <x:v>1mo</x:v>
      </x:c>
      <x:c r="F124" s="6" t="str">
        <x:v>Compute 63d excess momentum RSP vs SPY; hold RSP and short equal-notional SPY if excess &gt;2%, reverse if &lt;-2%; no position in band.</x:v>
      </x:c>
      <x:c r="G124" s="6" t="str">
        <x:v>Exit/reverse when signal crosses +/-0.5%; rebalance monthly.</x:v>
      </x:c>
      <x:c r="H124" s="6" t="str">
        <x:v>Threshold 1/2/3%; exit 0/.5/1%</x:v>
      </x:c>
      <x:c r="I124" s="6" t="str">
        <x:v>PAIRS</x:v>
      </x:c>
      <x:c r="J124" s="6" t="str">
        <x:v>Hypothesis</x:v>
      </x:c>
      <x:c r="K124" s="6" t="str"/>
      <x:c r="L124" s="6" t="str"/>
      <x:c r="M124" s="6" t="str">
        <x:v>https://doi.org/10.1111/j.1540-6261.1993.tb04702.x</x:v>
      </x:c>
    </x:row>
    <x:row r="125" ht="44" customHeight="1">
      <x:c r="A125" s="6" t="str">
        <x:v>S124</x:v>
      </x:c>
      <x:c r="B125" s="6" t="str">
        <x:v>ETF-specific / allocations</x:v>
      </x:c>
      <x:c r="C125" s="6" t="str">
        <x:v>Treasury duration momentum</x:v>
      </x:c>
      <x:c r="D125" s="6" t="str">
        <x:v>ETF</x:v>
      </x:c>
      <x:c r="E125" s="6" t="str">
        <x:v>1mo</x:v>
      </x:c>
      <x:c r="F125" s="6" t="str">
        <x:v>Frozen basket of 3 fixed-duration Treasury ETFs; choose duration ETF with max previous 3m total return when &gt;Tbill, else short T-bills.</x:v>
      </x:c>
      <x:c r="G125" s="6" t="str">
        <x:v>Monthly switch next first session.</x:v>
      </x:c>
      <x:c r="H125" s="6" t="str">
        <x:v>Lookback 1/3/6m; max duration class</x:v>
      </x:c>
      <x:c r="I125" s="6" t="str">
        <x:v>PORTFOLIO</x:v>
      </x:c>
      <x:c r="J125" s="6" t="str">
        <x:v>Hypothesis</x:v>
      </x:c>
      <x:c r="K125" s="6" t="str"/>
      <x:c r="L125" s="6" t="str"/>
      <x:c r="M125" s="6" t="str">
        <x:v>https://doi.org/10.1016/j.jfineco.2011.11.003</x:v>
      </x:c>
    </x:row>
    <x:row r="126" ht="44" customHeight="1">
      <x:c r="A126" s="6" t="str">
        <x:v>S125</x:v>
      </x:c>
      <x:c r="B126" s="6" t="str">
        <x:v>ETF-specific / allocations</x:v>
      </x:c>
      <x:c r="C126" s="6" t="str">
        <x:v>Sector breadth risk-on filter</x:v>
      </x:c>
      <x:c r="D126" s="6" t="str">
        <x:v>ETF</x:v>
      </x:c>
      <x:c r="E126" s="6" t="str">
        <x:v>1d</x:v>
      </x:c>
      <x:c r="F126" s="6" t="str">
        <x:v>At day close count fixed sector ETFs above their SMA200; if count&gt;=7 out of 11 invest in SPY, otherwise in Tbill proxy.</x:v>
      </x:c>
      <x:c r="G126" s="6" t="str">
        <x:v>Next open switch; evaluate weekly Fridays to reduce churn.</x:v>
      </x:c>
      <x:c r="H126" s="6" t="str">
        <x:v>Breadth threshold 5/7/9; SMA150/200</x:v>
      </x:c>
      <x:c r="I126" s="6" t="str">
        <x:v>PORTFOLIO</x:v>
      </x:c>
      <x:c r="J126" s="6" t="str">
        <x:v>Hypothesis</x:v>
      </x:c>
      <x:c r="K126" s="6" t="str"/>
      <x:c r="L126" s="6" t="str"/>
      <x:c r="M126" s="6" t="str">
        <x:v>https://www.nber.org/papers/w7613</x:v>
      </x:c>
    </x:row>
    <x:row r="127" ht="44" customHeight="1">
      <x:c r="A127" s="6" t="str">
        <x:v>S126</x:v>
      </x:c>
      <x:c r="B127" s="6" t="str">
        <x:v>Options directional / income</x:v>
      </x:c>
      <x:c r="C127" s="6" t="str">
        <x:v>Long 30DTE ATM call</x:v>
      </x:c>
      <x:c r="D127" s="6" t="str">
        <x:v>OPT</x:v>
      </x:c>
      <x:c r="E127" s="6" t="str">
        <x:v>1d</x:v>
      </x:c>
      <x:c r="F127" s="6" t="str">
        <x:v>If underlying closes above SMA200 and EMA20 crosses above EMA50, buy nearest listed call delta +0.50, expiry 25-35 calendar days, next valid quote timestamp.</x:v>
      </x:c>
      <x:c r="G127" s="6" t="str">
        <x:v>Sell option if underlying closes below EMA20 OR DTE&lt;=7; optional option loss -50% and profit +100%, tested separately.</x:v>
      </x:c>
      <x:c r="H127" s="6" t="str">
        <x:v>delta .45/.50/.55; DTE 21/30/45; option stop 0/50%</x:v>
      </x:c>
      <x:c r="I127" s="6" t="str">
        <x:v>OPT_DEBIT</x:v>
      </x:c>
      <x:c r="J127" s="6" t="str">
        <x:v>Hypothesis</x:v>
      </x:c>
      <x:c r="K127" s="6" t="str"/>
      <x:c r="L127" s="6" t="str"/>
      <x:c r="M127" s="6" t="str">
        <x:v>https://www.optionseducation.org/strategies/all-strategies-en</x:v>
      </x:c>
    </x:row>
    <x:row r="128" ht="44" customHeight="1">
      <x:c r="A128" s="6" t="str">
        <x:v>S127</x:v>
      </x:c>
      <x:c r="B128" s="6" t="str">
        <x:v>Options directional / income</x:v>
      </x:c>
      <x:c r="C128" s="6" t="str">
        <x:v>Long 30DTE ATM put</x:v>
      </x:c>
      <x:c r="D128" s="6" t="str">
        <x:v>OPT</x:v>
      </x:c>
      <x:c r="E128" s="6" t="str">
        <x:v>1d</x:v>
      </x:c>
      <x:c r="F128" s="6" t="str">
        <x:v>If underlying closes below SMA200 and EMA20 crosses below EMA50, buy put delta -0.50, expiry 25-35 days.</x:v>
      </x:c>
      <x:c r="G128" s="6" t="str">
        <x:v>Close if price closes above EMA20 or DTE&lt;=7.</x:v>
      </x:c>
      <x:c r="H128" s="6" t="str">
        <x:v>delta .40/.50/.60 absolute; 21/30/45 DTE</x:v>
      </x:c>
      <x:c r="I128" s="6" t="str">
        <x:v>OPT_DEBIT</x:v>
      </x:c>
      <x:c r="J128" s="6" t="str">
        <x:v>Hypothesis</x:v>
      </x:c>
      <x:c r="K128" s="6" t="str"/>
      <x:c r="L128" s="6" t="str"/>
      <x:c r="M128" s="6" t="str">
        <x:v>https://www.optionseducation.org/strategies/all-strategies-en</x:v>
      </x:c>
    </x:row>
    <x:row r="129" ht="44" customHeight="1">
      <x:c r="A129" s="6" t="str">
        <x:v>S128</x:v>
      </x:c>
      <x:c r="B129" s="6" t="str">
        <x:v>Options directional / income</x:v>
      </x:c>
      <x:c r="C129" s="6" t="str">
        <x:v>Covered call monthly</x:v>
      </x:c>
      <x:c r="D129" s="6" t="str">
        <x:v>STK+OPT</x:v>
      </x:c>
      <x:c r="E129" s="6" t="str">
        <x:v>1mo</x:v>
      </x:c>
      <x:c r="F129" s="6" t="str">
        <x:v>Own exactly 100 underlying shares; monthly sell 25-35DTE call with delta closest +0.30 above stock spot, on publicly available quote.</x:v>
      </x:c>
      <x:c r="G129" s="6" t="str">
        <x:v>Buy back call at DTE&lt;=5 or close on assignment; keep shares unless explicitly write buywrite rebalancing rule.</x:v>
      </x:c>
      <x:c r="H129" s="6" t="str">
        <x:v>short delta .2/.3/.4; DTE 21/30/45</x:v>
      </x:c>
      <x:c r="I129" s="6" t="str">
        <x:v>OPT_COVERED</x:v>
      </x:c>
      <x:c r="J129" s="6" t="str">
        <x:v>Established option structure</x:v>
      </x:c>
      <x:c r="K129" s="6" t="str"/>
      <x:c r="L129" s="6" t="str"/>
      <x:c r="M129" s="6" t="str">
        <x:v>https://www.optionseducation.org/strategies/all-strategies-en</x:v>
      </x:c>
    </x:row>
    <x:row r="130" ht="44" customHeight="1">
      <x:c r="A130" s="6" t="str">
        <x:v>S129</x:v>
      </x:c>
      <x:c r="B130" s="6" t="str">
        <x:v>Options directional / income</x:v>
      </x:c>
      <x:c r="C130" s="6" t="str">
        <x:v>Cboe-style ATM putwrite</x:v>
      </x:c>
      <x:c r="D130" s="6" t="str">
        <x:v>OPT</x:v>
      </x:c>
      <x:c r="E130" s="6" t="str">
        <x:v>1mo</x:v>
      </x:c>
      <x:c r="F130" s="6" t="str">
        <x:v>On monthly roll hold 1m/3m T-bill collateral sufficient for maximum cash-settled SPX put settlement; sell near ATM SPX monthly put.</x:v>
      </x:c>
      <x:c r="G130" s="6" t="str">
        <x:v>Expire cash-settled per actual AM/PM contract or close near expiration before settlement as separate test; roll next cycle.</x:v>
      </x:c>
      <x:c r="H130" s="6" t="str">
        <x:v>ATM strike nearest; roll monthly; alternate delta .35</x:v>
      </x:c>
      <x:c r="I130" s="6" t="str">
        <x:v>OPT_CASHSEC</x:v>
      </x:c>
      <x:c r="J130" s="6" t="str">
        <x:v>Research-backed benchmark structure</x:v>
      </x:c>
      <x:c r="K130" s="6" t="str">
        <x:v>Match SPX settlement and roll methodology</x:v>
      </x:c>
      <x:c r="L130" s="6" t="str"/>
      <x:c r="M130" s="6" t="str">
        <x:v>https://cdn.cboe.com/resources/indices/factsheet/CboeGlobalIndices_PUT-Index.pdf</x:v>
      </x:c>
    </x:row>
    <x:row r="131" ht="44" customHeight="1">
      <x:c r="A131" s="6" t="str">
        <x:v>S130</x:v>
      </x:c>
      <x:c r="B131" s="6" t="str">
        <x:v>Options directional / income</x:v>
      </x:c>
      <x:c r="C131" s="6" t="str">
        <x:v>Cash-secured 0.30 delta put</x:v>
      </x:c>
      <x:c r="D131" s="6" t="str">
        <x:v>OPT</x:v>
      </x:c>
      <x:c r="E131" s="6" t="str">
        <x:v>1mo</x:v>
      </x:c>
      <x:c r="F131" s="6" t="str">
        <x:v>Reserve strike*100 cash per contract; sell put with delta approx -0.30 and DTE 25-45, liquid stock or ETF with no earnings before expiration.</x:v>
      </x:c>
      <x:c r="G131" s="6" t="str">
        <x:v>Buy to close at &lt;=50% original credit or DTE&lt;=7; if assigned acquire shares and continue accounting.</x:v>
      </x:c>
      <x:c r="H131" s="6" t="str">
        <x:v>delta .20/.30/.40; DTE 30/45; TP 25/50/75%</x:v>
      </x:c>
      <x:c r="I131" s="6" t="str">
        <x:v>OPT_CASHSEC</x:v>
      </x:c>
      <x:c r="J131" s="6" t="str">
        <x:v>Hypothesis</x:v>
      </x:c>
      <x:c r="K131" s="6" t="str"/>
      <x:c r="L131" s="6" t="str"/>
      <x:c r="M131" s="6" t="str">
        <x:v>https://www.optionseducation.org/strategies/all-strategies-en</x:v>
      </x:c>
    </x:row>
    <x:row r="132" ht="44" customHeight="1">
      <x:c r="A132" s="6" t="str">
        <x:v>S131</x:v>
      </x:c>
      <x:c r="B132" s="6" t="str">
        <x:v>Options directional / income</x:v>
      </x:c>
      <x:c r="C132" s="6" t="str">
        <x:v>Wheel options plus shares</x:v>
      </x:c>
      <x:c r="D132" s="6" t="str">
        <x:v>STK+OPT</x:v>
      </x:c>
      <x:c r="E132" s="6" t="str">
        <x:v>1mo</x:v>
      </x:c>
      <x:c r="F132" s="6" t="str">
        <x:v>State CASH: sell cash-secured -0.30delta put 30DTE; if assigned 100 shares switch SHARE: sell +0.30delta call 30DTE against 100 shares.</x:v>
      </x:c>
      <x:c r="G132" s="6" t="str">
        <x:v>At 7 DTE roll profitable options; assignments trigger state transition; share dividends included; PnL across ALL states.</x:v>
      </x:c>
      <x:c r="H132" s="6" t="str">
        <x:v>delta .2/.3/.4; DTE 30/45; roll 7/14</x:v>
      </x:c>
      <x:c r="I132" s="6" t="str">
        <x:v>OPT_CASHSEC</x:v>
      </x:c>
      <x:c r="J132" s="6" t="str">
        <x:v>Hypothesis</x:v>
      </x:c>
      <x:c r="K132" s="6" t="str"/>
      <x:c r="L132" s="6" t="str">
        <x:v>Stock exposure dominates downside; premium is not free yield</x:v>
      </x:c>
      <x:c r="M132" s="6" t="str">
        <x:v>https://www.optionseducation.org/strategies/all-strategies-en</x:v>
      </x:c>
    </x:row>
    <x:row r="133" ht="44" customHeight="1">
      <x:c r="A133" s="6" t="str">
        <x:v>S132</x:v>
      </x:c>
      <x:c r="B133" s="6" t="str">
        <x:v>Options directional / income</x:v>
      </x:c>
      <x:c r="C133" s="6" t="str">
        <x:v>Protective put monthly</x:v>
      </x:c>
      <x:c r="D133" s="6" t="str">
        <x:v>STK+OPT</x:v>
      </x:c>
      <x:c r="E133" s="6" t="str">
        <x:v>1mo</x:v>
      </x:c>
      <x:c r="F133" s="6" t="str">
        <x:v>Hold 100 underlying shares; buy 60-90DTE put at delta -0.25 on first month signal.</x:v>
      </x:c>
      <x:c r="G133" s="6" t="str">
        <x:v>Roll when DTE&lt;=30; keep shares continuously; put expires/closed as specified.</x:v>
      </x:c>
      <x:c r="H133" s="6" t="str">
        <x:v>DTE 60/90; delta .15/.25/.35</x:v>
      </x:c>
      <x:c r="I133" s="6" t="str">
        <x:v>OPT_COVERED</x:v>
      </x:c>
      <x:c r="J133" s="6" t="str">
        <x:v>Hypothesis</x:v>
      </x:c>
      <x:c r="K133" s="6" t="str"/>
      <x:c r="L133" s="6" t="str"/>
      <x:c r="M133" s="6" t="str">
        <x:v>https://www.optionseducation.org/strategies/all-strategies-en</x:v>
      </x:c>
    </x:row>
    <x:row r="134" ht="44" customHeight="1">
      <x:c r="A134" s="6" t="str">
        <x:v>S133</x:v>
      </x:c>
      <x:c r="B134" s="6" t="str">
        <x:v>Options directional / income</x:v>
      </x:c>
      <x:c r="C134" s="6" t="str">
        <x:v>Collar 30DTE</x:v>
      </x:c>
      <x:c r="D134" s="6" t="str">
        <x:v>STK+OPT</x:v>
      </x:c>
      <x:c r="E134" s="6" t="str">
        <x:v>1mo</x:v>
      </x:c>
      <x:c r="F134" s="6" t="str">
        <x:v>Long 100 shares, buy 25-35DTE put delta -0.25 and sell same expiry call delta +0.25; 1:1 contracts.</x:v>
      </x:c>
      <x:c r="G134" s="6" t="str">
        <x:v>Close/roll pair at 5DTE; assignment handling throughout; keep stock.</x:v>
      </x:c>
      <x:c r="H134" s="6" t="str">
        <x:v>deltas .15/.25/.35; roll 5/7DTE</x:v>
      </x:c>
      <x:c r="I134" s="6" t="str">
        <x:v>OPT_COVERED</x:v>
      </x:c>
      <x:c r="J134" s="6" t="str">
        <x:v>Hypothesis</x:v>
      </x:c>
      <x:c r="K134" s="6" t="str"/>
      <x:c r="L134" s="6" t="str"/>
      <x:c r="M134" s="6" t="str">
        <x:v>https://www.optionseducation.org/strategies/all-strategies-en</x:v>
      </x:c>
    </x:row>
    <x:row r="135" ht="44" customHeight="1">
      <x:c r="A135" s="6" t="str">
        <x:v>S134</x:v>
      </x:c>
      <x:c r="B135" s="6" t="str">
        <x:v>Options directional / income</x:v>
      </x:c>
      <x:c r="C135" s="6" t="str">
        <x:v>Bull call debit vertical</x:v>
      </x:c>
      <x:c r="D135" s="6" t="str">
        <x:v>OPT</x:v>
      </x:c>
      <x:c r="E135" s="6" t="str">
        <x:v>1d</x:v>
      </x:c>
      <x:c r="F135" s="6" t="str">
        <x:v>Upon underlying 20d bullish breakout, buy call delta +0.60 and sell same expiry call delta +0.30, target DTE 25-45.</x:v>
      </x:c>
      <x:c r="G135" s="6" t="str">
        <x:v>Close at 50% maximum theoretical payoff gain or -50% paid debit, or &lt;=7 DTE.</x:v>
      </x:c>
      <x:c r="H135" s="6" t="str">
        <x:v>long delta .55/.6; short .2/.3; DTE 30/45</x:v>
      </x:c>
      <x:c r="I135" s="6" t="str">
        <x:v>OPT_DEBIT</x:v>
      </x:c>
      <x:c r="J135" s="6" t="str">
        <x:v>Hypothesis</x:v>
      </x:c>
      <x:c r="K135" s="6" t="str"/>
      <x:c r="L135" s="6" t="str"/>
      <x:c r="M135" s="6" t="str">
        <x:v>https://www.optionseducation.org/strategies/all-strategies-en</x:v>
      </x:c>
    </x:row>
    <x:row r="136" ht="44" customHeight="1">
      <x:c r="A136" s="6" t="str">
        <x:v>S135</x:v>
      </x:c>
      <x:c r="B136" s="6" t="str">
        <x:v>Options directional / income</x:v>
      </x:c>
      <x:c r="C136" s="6" t="str">
        <x:v>Bear put debit vertical</x:v>
      </x:c>
      <x:c r="D136" s="6" t="str">
        <x:v>OPT</x:v>
      </x:c>
      <x:c r="E136" s="6" t="str">
        <x:v>1d</x:v>
      </x:c>
      <x:c r="F136" s="6" t="str">
        <x:v>Upon 20d bearish breakdown, buy put delta -0.60 and sell put delta -0.30 same 30DTE expiry.</x:v>
      </x:c>
      <x:c r="G136" s="6" t="str">
        <x:v>Close 50% max-payoff gain or -50% debit, or 7DTE.</x:v>
      </x:c>
      <x:c r="H136" s="6" t="str">
        <x:v>long abs delta .55/.60; short .2/.3; DTE 30/45</x:v>
      </x:c>
      <x:c r="I136" s="6" t="str">
        <x:v>OPT_DEBIT</x:v>
      </x:c>
      <x:c r="J136" s="6" t="str">
        <x:v>Hypothesis</x:v>
      </x:c>
      <x:c r="K136" s="6" t="str"/>
      <x:c r="L136" s="6" t="str"/>
      <x:c r="M136" s="6" t="str">
        <x:v>https://www.optionseducation.org/strategies/all-strategies-en</x:v>
      </x:c>
    </x:row>
    <x:row r="137" ht="44" customHeight="1">
      <x:c r="A137" s="6" t="str">
        <x:v>S136</x:v>
      </x:c>
      <x:c r="B137" s="6" t="str">
        <x:v>Options directional / income</x:v>
      </x:c>
      <x:c r="C137" s="6" t="str">
        <x:v>Bull put credit vertical</x:v>
      </x:c>
      <x:c r="D137" s="6" t="str">
        <x:v>OPT</x:v>
      </x:c>
      <x:c r="E137" s="6" t="str">
        <x:v>1d</x:v>
      </x:c>
      <x:c r="F137" s="6" t="str">
        <x:v>If underlying&gt;SMA200 and VIX 20d percentile&gt;60, sell put abs delta .30, buy lower strike abs delta .10, same expiry 30-45DTE.</x:v>
      </x:c>
      <x:c r="G137" s="6" t="str">
        <x:v>Close at 50% credit captured, 2x received credit debit to close, or 7DTE.</x:v>
      </x:c>
      <x:c r="H137" s="6" t="str">
        <x:v>short delta .2/.3; wing 5/10 points or .1 delta</x:v>
      </x:c>
      <x:c r="I137" s="6" t="str">
        <x:v>OPT_CREDIT</x:v>
      </x:c>
      <x:c r="J137" s="6" t="str">
        <x:v>Hypothesis</x:v>
      </x:c>
      <x:c r="K137" s="6" t="str"/>
      <x:c r="L137" s="6" t="str"/>
      <x:c r="M137" s="6" t="str">
        <x:v>https://www.optionseducation.org/strategies/all-strategies-en</x:v>
      </x:c>
    </x:row>
    <x:row r="138" ht="44" customHeight="1">
      <x:c r="A138" s="6" t="str">
        <x:v>S137</x:v>
      </x:c>
      <x:c r="B138" s="6" t="str">
        <x:v>Options directional / income</x:v>
      </x:c>
      <x:c r="C138" s="6" t="str">
        <x:v>Bear call credit vertical</x:v>
      </x:c>
      <x:c r="D138" s="6" t="str">
        <x:v>OPT</x:v>
      </x:c>
      <x:c r="E138" s="6" t="str">
        <x:v>1d</x:v>
      </x:c>
      <x:c r="F138" s="6" t="str">
        <x:v>If underlying&lt;SMA200 and its 20d return&lt;0, sell 30-45DTE call delta .30, buy further OTM call delta .10.</x:v>
      </x:c>
      <x:c r="G138" s="6" t="str">
        <x:v>Close at 50% credit captured, 2x initial credit to close, or 7DTE.</x:v>
      </x:c>
      <x:c r="H138" s="6" t="str">
        <x:v>short .2/.3 delta; long .05/.1 delta</x:v>
      </x:c>
      <x:c r="I138" s="6" t="str">
        <x:v>OPT_CREDIT</x:v>
      </x:c>
      <x:c r="J138" s="6" t="str">
        <x:v>Hypothesis</x:v>
      </x:c>
      <x:c r="K138" s="6" t="str"/>
      <x:c r="L138" s="6" t="str"/>
      <x:c r="M138" s="6" t="str">
        <x:v>https://www.optionseducation.org/strategies/all-strategies-en</x:v>
      </x:c>
    </x:row>
    <x:row r="139" ht="44" customHeight="1">
      <x:c r="A139" s="6" t="str">
        <x:v>S138</x:v>
      </x:c>
      <x:c r="B139" s="6" t="str">
        <x:v>Options directional / income</x:v>
      </x:c>
      <x:c r="C139" s="6" t="str">
        <x:v>Monthly short 20-delta iron condor</x:v>
      </x:c>
      <x:c r="D139" s="6" t="str">
        <x:v>OPT</x:v>
      </x:c>
      <x:c r="E139" s="6" t="str">
        <x:v>1mo</x:v>
      </x:c>
      <x:c r="F139" s="6" t="str">
        <x:v>Sell -0.20delta put and +0.20delta call; buy -0.05delta put/+0.05delta call with same monthly SPX expiration; buy wings; no net naked legs.</x:v>
      </x:c>
      <x:c r="G139" s="6" t="str">
        <x:v>Roll at 5DTE or close at 50% net credit captured; stress hold-to-settlement separately.</x:v>
      </x:c>
      <x:c r="H139" s="6" t="str">
        <x:v>short abs .15/.20/.25; wing .03/.05/.10; DTE 30/45</x:v>
      </x:c>
      <x:c r="I139" s="6" t="str">
        <x:v>OPT_CREDIT</x:v>
      </x:c>
      <x:c r="J139" s="6" t="str">
        <x:v>Cboe benchmark architecture; exit baseline</x:v>
      </x:c>
      <x:c r="K139" s="6" t="str"/>
      <x:c r="L139" s="6" t="str"/>
      <x:c r="M139" s="6" t="str">
        <x:v>https://www.cboe.com/insights/posts/benchmark-indices-series-volatility-management-with-cboes-bfly-and-cndr-indices</x:v>
      </x:c>
    </x:row>
    <x:row r="140" ht="44" customHeight="1">
      <x:c r="A140" s="6" t="str">
        <x:v>S139</x:v>
      </x:c>
      <x:c r="B140" s="6" t="str">
        <x:v>Options directional / income</x:v>
      </x:c>
      <x:c r="C140" s="6" t="str">
        <x:v>Short iron butterfly</x:v>
      </x:c>
      <x:c r="D140" s="6" t="str">
        <x:v>OPT</x:v>
      </x:c>
      <x:c r="E140" s="6" t="str">
        <x:v>1mo</x:v>
      </x:c>
      <x:c r="F140" s="6" t="str">
        <x:v>Sell nearest ATM call and put same expiry 25-45DTE; buy OTM protective call +10 point and put -10 point wing (actual listed strikes and symmetric width).</x:v>
      </x:c>
      <x:c r="G140" s="6" t="str">
        <x:v>Close 25/50% credit captured, stop debit 2x original credit, or 7DTE.</x:v>
      </x:c>
      <x:c r="H140" s="6" t="str">
        <x:v>width 5/10/20pts subject to underlying; DTE 21/30/45</x:v>
      </x:c>
      <x:c r="I140" s="6" t="str">
        <x:v>OPT_CREDIT</x:v>
      </x:c>
      <x:c r="J140" s="6" t="str">
        <x:v>Hypothesis</x:v>
      </x:c>
      <x:c r="K140" s="6" t="str"/>
      <x:c r="L140" s="6" t="str"/>
      <x:c r="M140" s="6" t="str">
        <x:v>https://www.optionseducation.org/strategies/all-strategies-en</x:v>
      </x:c>
    </x:row>
    <x:row r="141" ht="44" customHeight="1">
      <x:c r="A141" s="6" t="str">
        <x:v>S140</x:v>
      </x:c>
      <x:c r="B141" s="6" t="str">
        <x:v>Options directional / income</x:v>
      </x:c>
      <x:c r="C141" s="6" t="str">
        <x:v>Long iron butterfly</x:v>
      </x:c>
      <x:c r="D141" s="6" t="str">
        <x:v>OPT</x:v>
      </x:c>
      <x:c r="E141" s="6" t="str">
        <x:v>1mo</x:v>
      </x:c>
      <x:c r="F141" s="6" t="str">
        <x:v>Buy nearest ATM put and call same expiry; sell OTM call/put wings at symmetric 10 point width, require net debit &gt;0 and defined loss.</x:v>
      </x:c>
      <x:c r="G141" s="6" t="str">
        <x:v>Close at 30% of theoretical maximum spread payoff or at 7DTE.</x:v>
      </x:c>
      <x:c r="H141" s="6" t="str">
        <x:v>wing 5/10/20; DTE 14/30/45</x:v>
      </x:c>
      <x:c r="I141" s="6" t="str">
        <x:v>OPT_DEBIT</x:v>
      </x:c>
      <x:c r="J141" s="6" t="str">
        <x:v>Hypothesis</x:v>
      </x:c>
      <x:c r="K141" s="6" t="str"/>
      <x:c r="L141" s="6" t="str"/>
      <x:c r="M141" s="6" t="str">
        <x:v>https://www.optionseducation.org/strategies/all-strategies-en</x:v>
      </x:c>
    </x:row>
    <x:row r="142" ht="44" customHeight="1">
      <x:c r="A142" s="6" t="str">
        <x:v>S141</x:v>
      </x:c>
      <x:c r="B142" s="6" t="str">
        <x:v>Options directional / income</x:v>
      </x:c>
      <x:c r="C142" s="6" t="str">
        <x:v>Long call butterfly</x:v>
      </x:c>
      <x:c r="D142" s="6" t="str">
        <x:v>OPT</x:v>
      </x:c>
      <x:c r="E142" s="6" t="str">
        <x:v>1mo</x:v>
      </x:c>
      <x:c r="F142" s="6" t="str">
        <x:v>Buy 1 call at K1, sell 2 at K2=nearest ATM strike, buy 1 call at K3 with K2-K1=K3-K2 and DTE 25-45.</x:v>
      </x:c>
      <x:c r="G142" s="6" t="str">
        <x:v>Close when market value &gt;=50% of max terminal payoff, or DTE&lt;=5; risk=debit.</x:v>
      </x:c>
      <x:c r="H142" s="6" t="str">
        <x:v>width 5/10/20; 30/45 DTE</x:v>
      </x:c>
      <x:c r="I142" s="6" t="str">
        <x:v>OPT_DEBIT</x:v>
      </x:c>
      <x:c r="J142" s="6" t="str">
        <x:v>Hypothesis</x:v>
      </x:c>
      <x:c r="K142" s="6" t="str"/>
      <x:c r="L142" s="6" t="str"/>
      <x:c r="M142" s="6" t="str">
        <x:v>https://www.optionseducation.org/strategies/all-strategies-en</x:v>
      </x:c>
    </x:row>
    <x:row r="143" ht="44" customHeight="1">
      <x:c r="A143" s="6" t="str">
        <x:v>S142</x:v>
      </x:c>
      <x:c r="B143" s="6" t="str">
        <x:v>Options directional / income</x:v>
      </x:c>
      <x:c r="C143" s="6" t="str">
        <x:v>Long put butterfly</x:v>
      </x:c>
      <x:c r="D143" s="6" t="str">
        <x:v>OPT</x:v>
      </x:c>
      <x:c r="E143" s="6" t="str">
        <x:v>1mo</x:v>
      </x:c>
      <x:c r="F143" s="6" t="str">
        <x:v>Buy put at upper K3, sell 2 puts at ATM K2, buy put at lower K1 equidistant; expiry 25-45DTE.</x:v>
      </x:c>
      <x:c r="G143" s="6" t="str">
        <x:v>Close at 50% max terminal payoff or 5DTE; debit risk.</x:v>
      </x:c>
      <x:c r="H143" s="6" t="str">
        <x:v>width 5/10/20; 30/45 DTE</x:v>
      </x:c>
      <x:c r="I143" s="6" t="str">
        <x:v>OPT_DEBIT</x:v>
      </x:c>
      <x:c r="J143" s="6" t="str">
        <x:v>Hypothesis</x:v>
      </x:c>
      <x:c r="K143" s="6" t="str"/>
      <x:c r="L143" s="6" t="str"/>
      <x:c r="M143" s="6" t="str">
        <x:v>https://www.optionseducation.org/strategies/all-strategies-en</x:v>
      </x:c>
    </x:row>
    <x:row r="144" ht="44" customHeight="1">
      <x:c r="A144" s="6" t="str">
        <x:v>S143</x:v>
      </x:c>
      <x:c r="B144" s="6" t="str">
        <x:v>Options directional / income</x:v>
      </x:c>
      <x:c r="C144" s="6" t="str">
        <x:v>Long ATM straddle</x:v>
      </x:c>
      <x:c r="D144" s="6" t="str">
        <x:v>OPT</x:v>
      </x:c>
      <x:c r="E144" s="6" t="str">
        <x:v>1d</x:v>
      </x:c>
      <x:c r="F144" s="6" t="str">
        <x:v>Buy one ATM call plus one ATM put same 25-35DTE expiry if forward implied ATM volatility percentile &lt;20 versus prior 252 sessions.</x:v>
      </x:c>
      <x:c r="G144" s="6" t="str">
        <x:v>Exit after 10d, if IV percentile&gt;60, or DTE&lt;=7; close BOTH legs simultaneously.</x:v>
      </x:c>
      <x:c r="H144" s="6" t="str">
        <x:v>IV pct 10/20/30; DTE 21/30/45</x:v>
      </x:c>
      <x:c r="I144" s="6" t="str">
        <x:v>OPT_DEBIT</x:v>
      </x:c>
      <x:c r="J144" s="6" t="str">
        <x:v>Hypothesis</x:v>
      </x:c>
      <x:c r="K144" s="6" t="str"/>
      <x:c r="L144" s="6" t="str"/>
      <x:c r="M144" s="6" t="str">
        <x:v>https://www.optionseducation.org/strategies/all-strategies-en</x:v>
      </x:c>
    </x:row>
    <x:row r="145" ht="44" customHeight="1">
      <x:c r="A145" s="6" t="str">
        <x:v>S144</x:v>
      </x:c>
      <x:c r="B145" s="6" t="str">
        <x:v>Options directional / income</x:v>
      </x:c>
      <x:c r="C145" s="6" t="str">
        <x:v>Long 25-delta strangle</x:v>
      </x:c>
      <x:c r="D145" s="6" t="str">
        <x:v>OPT</x:v>
      </x:c>
      <x:c r="E145" s="6" t="str">
        <x:v>1d</x:v>
      </x:c>
      <x:c r="F145" s="6" t="str">
        <x:v>Buy same-expiration call +0.25 delta and put -0.25 delta, 30-45DTE, if 20d realized vol forecast exceeds ATM implied by at least 3 vol points (predeclared model).</x:v>
      </x:c>
      <x:c r="G145" s="6" t="str">
        <x:v>Exit DTE&lt;=7 or after 10 trading days; no TP default.</x:v>
      </x:c>
      <x:c r="H145" s="6" t="str">
        <x:v>delta .15/.25/.35; edge 1/3/5 vol pts</x:v>
      </x:c>
      <x:c r="I145" s="6" t="str">
        <x:v>OPT_DEBIT</x:v>
      </x:c>
      <x:c r="J145" s="6" t="str">
        <x:v>Hypothesis</x:v>
      </x:c>
      <x:c r="K145" s="6" t="str"/>
      <x:c r="L145" s="6" t="str"/>
      <x:c r="M145" s="6" t="str">
        <x:v>https://www.optionseducation.org/strategies/all-strategies-en</x:v>
      </x:c>
    </x:row>
    <x:row r="146" ht="44" customHeight="1">
      <x:c r="A146" s="6" t="str">
        <x:v>S145</x:v>
      </x:c>
      <x:c r="B146" s="6" t="str">
        <x:v>Options directional / income</x:v>
      </x:c>
      <x:c r="C146" s="6" t="str">
        <x:v>Short 25-delta strangle</x:v>
      </x:c>
      <x:c r="D146" s="6" t="str">
        <x:v>OPT</x:v>
      </x:c>
      <x:c r="E146" s="6" t="str">
        <x:v>1mo</x:v>
      </x:c>
      <x:c r="F146" s="6" t="str">
        <x:v>Sell 30-45DTE put abs delta .25 and call delta .25 when ATM IV30/realized20 forecast ratio&gt;=1.3.</x:v>
      </x:c>
      <x:c r="G146" s="6" t="str">
        <x:v>Close at 50% credit captured, 2x initial credit loss, or DTE&lt;=7; stress unlimited call loss and margin.</x:v>
      </x:c>
      <x:c r="H146" s="6" t="str">
        <x:v>delta .16/.25/.3; IV/RV 1.2/1.3/1.5</x:v>
      </x:c>
      <x:c r="I146" s="6" t="str">
        <x:v>OPT_NAKED</x:v>
      </x:c>
      <x:c r="J146" s="6" t="str">
        <x:v>Hypothesis</x:v>
      </x:c>
      <x:c r="K146" s="6" t="str"/>
      <x:c r="L146" s="6" t="str">
        <x:v>Unbounded short call risk; margin calls; jump gaps</x:v>
      </x:c>
      <x:c r="M146" s="6" t="str">
        <x:v>https://www.optionseducation.org/strategies/all-strategies-en</x:v>
      </x:c>
    </x:row>
    <x:row r="147" ht="44" customHeight="1">
      <x:c r="A147" s="6" t="str">
        <x:v>S146</x:v>
      </x:c>
      <x:c r="B147" s="6" t="str">
        <x:v>Options directional / income</x:v>
      </x:c>
      <x:c r="C147" s="6" t="str">
        <x:v>Short ATM straddle delta-hedged</x:v>
      </x:c>
      <x:c r="D147" s="6" t="str">
        <x:v>OPT+STK</x:v>
      </x:c>
      <x:c r="E147" s="6" t="str">
        <x:v>1d</x:v>
      </x:c>
      <x:c r="F147" s="6" t="str">
        <x:v>Sell ATM call+put same 30DTE expiry when quoted ATM IV &gt; trailing 20d realized vol by &gt;=3 annualized vol points; concurrently trade shares to net delta=0.</x:v>
      </x:c>
      <x:c r="G147" s="6" t="str">
        <x:v>Rehedge at daily close to |net delta|&lt;0.05 per option-equivalent; close both options at 7DTE; account stock dividends/borrow.</x:v>
      </x:c>
      <x:c r="H147" s="6" t="str">
        <x:v>IV-RV 2/3/5 vol pts; hedge 1d/1h; DTE 21/30</x:v>
      </x:c>
      <x:c r="I147" s="6" t="str">
        <x:v>OPT_NAKED</x:v>
      </x:c>
      <x:c r="J147" s="6" t="str">
        <x:v>Hypothesis</x:v>
      </x:c>
      <x:c r="K147" s="6" t="str"/>
      <x:c r="L147" s="6" t="str">
        <x:v>Short gamma / jumps; daily hedge incompleteness</x:v>
      </x:c>
      <x:c r="M147" s="6" t="str">
        <x:v>https://www.optionseducation.org/strategies/all-strategies-en</x:v>
      </x:c>
    </x:row>
    <x:row r="148" ht="44" customHeight="1">
      <x:c r="A148" s="6" t="str">
        <x:v>S147</x:v>
      </x:c>
      <x:c r="B148" s="6" t="str">
        <x:v>Options directional / income</x:v>
      </x:c>
      <x:c r="C148" s="6" t="str">
        <x:v>Long ATM straddle gamma scalp</x:v>
      </x:c>
      <x:c r="D148" s="6" t="str">
        <x:v>OPT+STK</x:v>
      </x:c>
      <x:c r="E148" s="6" t="str">
        <x:v>1d</x:v>
      </x:c>
      <x:c r="F148" s="6" t="str">
        <x:v>Buy ATM call+put 30DTE when realized vol forecast exceeds implied by 3 vol pts; delta hedge with stock at entry.</x:v>
      </x:c>
      <x:c r="G148" s="6" t="str">
        <x:v>Rehedge stock at delta drift &gt;0.1 or daily close; exit at 7DTE or after 10d.</x:v>
      </x:c>
      <x:c r="H148" s="6" t="str">
        <x:v>Hedge threshold .05/.10/.20 delta; DTE 21/30</x:v>
      </x:c>
      <x:c r="I148" s="6" t="str">
        <x:v>OPT_DEBIT</x:v>
      </x:c>
      <x:c r="J148" s="6" t="str">
        <x:v>Hypothesis</x:v>
      </x:c>
      <x:c r="K148" s="6" t="str"/>
      <x:c r="L148" s="6" t="str">
        <x:v>Hedge costs can overwhelm gamma gains</x:v>
      </x:c>
      <x:c r="M148" s="6" t="str">
        <x:v>https://www.optionseducation.org/strategies/all-strategies-en</x:v>
      </x:c>
    </x:row>
    <x:row r="149" ht="44" customHeight="1">
      <x:c r="A149" s="6" t="str">
        <x:v>S148</x:v>
      </x:c>
      <x:c r="B149" s="6" t="str">
        <x:v>Options directional / income</x:v>
      </x:c>
      <x:c r="C149" s="6" t="str">
        <x:v>Long call calendar</x:v>
      </x:c>
      <x:c r="D149" s="6" t="str">
        <x:v>OPT</x:v>
      </x:c>
      <x:c r="E149" s="6" t="str">
        <x:v>1mo</x:v>
      </x:c>
      <x:c r="F149" s="6" t="str">
        <x:v>Sell ATM call expiring in 25-35DTE and buy same-strike ATM call expiring 55-75DTE; two-leg limit spread.</x:v>
      </x:c>
      <x:c r="G149" s="6" t="str">
        <x:v>Close near short expiration &lt;=7DTE to avoid exercise, or upon +30% of initial debit gain.</x:v>
      </x:c>
      <x:c r="H149" s="6" t="str">
        <x:v>near 21/30; far 60/90; TP 20/30/50%</x:v>
      </x:c>
      <x:c r="I149" s="6" t="str">
        <x:v>OPT_DEBIT</x:v>
      </x:c>
      <x:c r="J149" s="6" t="str">
        <x:v>Hypothesis</x:v>
      </x:c>
      <x:c r="K149" s="6" t="str"/>
      <x:c r="L149" s="6" t="str"/>
      <x:c r="M149" s="6" t="str">
        <x:v>https://www.optionseducation.org/strategies/all-strategies-en</x:v>
      </x:c>
    </x:row>
    <x:row r="150" ht="44" customHeight="1">
      <x:c r="A150" s="6" t="str">
        <x:v>S149</x:v>
      </x:c>
      <x:c r="B150" s="6" t="str">
        <x:v>Options directional / income</x:v>
      </x:c>
      <x:c r="C150" s="6" t="str">
        <x:v>Long put calendar</x:v>
      </x:c>
      <x:c r="D150" s="6" t="str">
        <x:v>OPT</x:v>
      </x:c>
      <x:c r="E150" s="6" t="str">
        <x:v>1mo</x:v>
      </x:c>
      <x:c r="F150" s="6" t="str">
        <x:v>Sell ATM put near 30DTE and buy same strike put far 60DTE; require far IV &lt;=near IV +5 volatility points.</x:v>
      </x:c>
      <x:c r="G150" s="6" t="str">
        <x:v>Close both &lt;=7DTE on near leg; or +30% debit.</x:v>
      </x:c>
      <x:c r="H150" s="6" t="str">
        <x:v>near 21/30; far 60/90; relative IV -5/0/+5</x:v>
      </x:c>
      <x:c r="I150" s="6" t="str">
        <x:v>OPT_DEBIT</x:v>
      </x:c>
      <x:c r="J150" s="6" t="str">
        <x:v>Hypothesis</x:v>
      </x:c>
      <x:c r="K150" s="6" t="str"/>
      <x:c r="L150" s="6" t="str"/>
      <x:c r="M150" s="6" t="str">
        <x:v>https://www.optionseducation.org/strategies/all-strategies-en</x:v>
      </x:c>
    </x:row>
    <x:row r="151" ht="44" customHeight="1">
      <x:c r="A151" s="6" t="str">
        <x:v>S150</x:v>
      </x:c>
      <x:c r="B151" s="6" t="str">
        <x:v>Options directional / income</x:v>
      </x:c>
      <x:c r="C151" s="6" t="str">
        <x:v>Diagonal covered call replacement</x:v>
      </x:c>
      <x:c r="D151" s="6" t="str">
        <x:v>OPT</x:v>
      </x:c>
      <x:c r="E151" s="6" t="str">
        <x:v>1mo</x:v>
      </x:c>
      <x:c r="F151" s="6" t="str">
        <x:v>Buy long call ~0.80 delta expiring 180-365DTE; sell short call delta ~0.30 expiring 25-45DTE, underlying bullish trend filter.</x:v>
      </x:c>
      <x:c r="G151" s="6" t="str">
        <x:v>At near &lt;=7DTE roll short; sell back LEAP when DTE&lt;=90 or trend reversal; do not assume synthetic share equivalence.</x:v>
      </x:c>
      <x:c r="H151" s="6" t="str">
        <x:v>long delta .75/.85; far DTE 180/365; short delta .2/.3</x:v>
      </x:c>
      <x:c r="I151" s="6" t="str">
        <x:v>OPT_DEBIT</x:v>
      </x:c>
      <x:c r="J151" s="6" t="str">
        <x:v>Hypothesis</x:v>
      </x:c>
      <x:c r="K151" s="6" t="str"/>
      <x:c r="L151" s="6" t="str"/>
      <x:c r="M151" s="6" t="str">
        <x:v>https://www.optionseducation.org/strategies/all-strategies-en</x:v>
      </x:c>
    </x:row>
    <x:row r="152" ht="44" customHeight="1">
      <x:c r="A152" s="6" t="str">
        <x:v>S151</x:v>
      </x:c>
      <x:c r="B152" s="6" t="str">
        <x:v>Options directional / income</x:v>
      </x:c>
      <x:c r="C152" s="6" t="str">
        <x:v>Call debit backspread</x:v>
      </x:c>
      <x:c r="D152" s="6" t="str">
        <x:v>OPT</x:v>
      </x:c>
      <x:c r="E152" s="6" t="str">
        <x:v>1mo</x:v>
      </x:c>
      <x:c r="F152" s="6" t="str">
        <x:v>Sell 1 call delta .50 and buy 2 calls delta .25 same expiry 30-60DTE, verify resulting net debit/credit and wing unbounded gain.</x:v>
      </x:c>
      <x:c r="G152" s="6" t="str">
        <x:v>Close &lt;=7DTE, or when max drawdown reaches defined portfolio budget.</x:v>
      </x:c>
      <x:c r="H152" s="6" t="str">
        <x:v>ratio 1:2; short .45/.5; long .2/.25</x:v>
      </x:c>
      <x:c r="I152" s="6" t="str">
        <x:v>OPT_DEBIT</x:v>
      </x:c>
      <x:c r="J152" s="6" t="str">
        <x:v>Hypothesis</x:v>
      </x:c>
      <x:c r="K152" s="6" t="str"/>
      <x:c r="L152" s="6" t="str">
        <x:v>Profit valley between strikes</x:v>
      </x:c>
      <x:c r="M152" s="6" t="str">
        <x:v>https://www.optionseducation.org/strategies/all-strategies-en</x:v>
      </x:c>
    </x:row>
    <x:row r="153" ht="44" customHeight="1">
      <x:c r="A153" s="6" t="str">
        <x:v>S152</x:v>
      </x:c>
      <x:c r="B153" s="6" t="str">
        <x:v>Options directional / income</x:v>
      </x:c>
      <x:c r="C153" s="6" t="str">
        <x:v>Put ratio backspread</x:v>
      </x:c>
      <x:c r="D153" s="6" t="str">
        <x:v>OPT</x:v>
      </x:c>
      <x:c r="E153" s="6" t="str">
        <x:v>1mo</x:v>
      </x:c>
      <x:c r="F153" s="6" t="str">
        <x:v>Sell 1 ATM-ish put abs delta .50, buy 2 OTM puts abs delta .25, same 30-60DTE expiry.</x:v>
      </x:c>
      <x:c r="G153" s="6" t="str">
        <x:v>Exit at 7DTE; carry debit/credit explicitly.</x:v>
      </x:c>
      <x:c r="H153" s="6" t="str">
        <x:v>1:2; long abs .20/.25; short .45/.5</x:v>
      </x:c>
      <x:c r="I153" s="6" t="str">
        <x:v>OPT_DEBIT</x:v>
      </x:c>
      <x:c r="J153" s="6" t="str">
        <x:v>Hypothesis</x:v>
      </x:c>
      <x:c r="K153" s="6" t="str"/>
      <x:c r="L153" s="6" t="str"/>
      <x:c r="M153" s="6" t="str">
        <x:v>https://www.optionseducation.org/strategies/all-strategies-en</x:v>
      </x:c>
    </x:row>
    <x:row r="154" ht="44" customHeight="1">
      <x:c r="A154" s="6" t="str">
        <x:v>S153</x:v>
      </x:c>
      <x:c r="B154" s="6" t="str">
        <x:v>Options directional / income</x:v>
      </x:c>
      <x:c r="C154" s="6" t="str">
        <x:v>Bullish risk reversal</x:v>
      </x:c>
      <x:c r="D154" s="6" t="str">
        <x:v>OPT</x:v>
      </x:c>
      <x:c r="E154" s="6" t="str">
        <x:v>1mo</x:v>
      </x:c>
      <x:c r="F154" s="6" t="str">
        <x:v>Sell put delta -.25, buy call delta +.25 same 30-45DTE expiry when underlying price&gt;SMA200 and predicted upside positive.</x:v>
      </x:c>
      <x:c r="G154" s="6" t="str">
        <x:v>Exit &lt;=7DTE or signal crosses bearish; cash secure put side or model margin.</x:v>
      </x:c>
      <x:c r="H154" s="6" t="str">
        <x:v>abs delta .2/.25/.3; DTE 30/45</x:v>
      </x:c>
      <x:c r="I154" s="6" t="str">
        <x:v>OPT_NAKED</x:v>
      </x:c>
      <x:c r="J154" s="6" t="str">
        <x:v>Hypothesis</x:v>
      </x:c>
      <x:c r="K154" s="6" t="str"/>
      <x:c r="L154" s="6" t="str"/>
      <x:c r="M154" s="6" t="str">
        <x:v>https://www.optionseducation.org/strategies/all-strategies-en</x:v>
      </x:c>
    </x:row>
    <x:row r="155" ht="44" customHeight="1">
      <x:c r="A155" s="6" t="str">
        <x:v>S154</x:v>
      </x:c>
      <x:c r="B155" s="6" t="str">
        <x:v>Options directional / income</x:v>
      </x:c>
      <x:c r="C155" s="6" t="str">
        <x:v>Bearish risk reversal</x:v>
      </x:c>
      <x:c r="D155" s="6" t="str">
        <x:v>OPT</x:v>
      </x:c>
      <x:c r="E155" s="6" t="str">
        <x:v>1mo</x:v>
      </x:c>
      <x:c r="F155" s="6" t="str">
        <x:v>Buy put delta -.25, sell call delta +.25 same 30-45DTE expiry if underlying&lt;SMA200.</x:v>
      </x:c>
      <x:c r="G155" s="6" t="str">
        <x:v>Exit &lt;=7DTE or bearish trend ends; naked short call margin modeled.</x:v>
      </x:c>
      <x:c r="H155" s="6" t="str">
        <x:v>abs delta .2/.25/.3</x:v>
      </x:c>
      <x:c r="I155" s="6" t="str">
        <x:v>OPT_NAKED</x:v>
      </x:c>
      <x:c r="J155" s="6" t="str">
        <x:v>Hypothesis</x:v>
      </x:c>
      <x:c r="K155" s="6" t="str"/>
      <x:c r="L155" s="6" t="str">
        <x:v>Unbounded short call upside loss</x:v>
      </x:c>
      <x:c r="M155" s="6" t="str">
        <x:v>https://www.optionseducation.org/strategies/all-strategies-en</x:v>
      </x:c>
    </x:row>
    <x:row r="156" ht="44" customHeight="1">
      <x:c r="A156" s="6" t="str">
        <x:v>S155</x:v>
      </x:c>
      <x:c r="B156" s="6" t="str">
        <x:v>Options directional / income</x:v>
      </x:c>
      <x:c r="C156" s="6" t="str">
        <x:v>Broken-wing call butterfly</x:v>
      </x:c>
      <x:c r="D156" s="6" t="str">
        <x:v>OPT</x:v>
      </x:c>
      <x:c r="E156" s="6" t="str">
        <x:v>1mo</x:v>
      </x:c>
      <x:c r="F156" s="6" t="str">
        <x:v>Buy 1 call K1, sell 2 calls K2&gt;K1, buy 1 call K3&gt;K2, with far wing K3-K2=1.5*(K2-K1), 30DTE.</x:v>
      </x:c>
      <x:c r="G156" s="6" t="str">
        <x:v>Exit near DTE&lt;=7 or when credit/debit reaches 50% of terminal max payout; no symmetric-risk assumption.</x:v>
      </x:c>
      <x:c r="H156" s="6" t="str">
        <x:v>near width 5/10; far multiple 1.5/2</x:v>
      </x:c>
      <x:c r="I156" s="6" t="str">
        <x:v>OPT_CREDIT</x:v>
      </x:c>
      <x:c r="J156" s="6" t="str">
        <x:v>Hypothesis</x:v>
      </x:c>
      <x:c r="K156" s="6" t="str"/>
      <x:c r="L156" s="6" t="str"/>
      <x:c r="M156" s="6" t="str">
        <x:v>https://www.optionseducation.org/strategies/all-strategies-en</x:v>
      </x:c>
    </x:row>
    <x:row r="157" ht="44" customHeight="1">
      <x:c r="A157" s="6" t="str">
        <x:v>S156</x:v>
      </x:c>
      <x:c r="B157" s="6" t="str">
        <x:v>Options directional / income</x:v>
      </x:c>
      <x:c r="C157" s="6" t="str">
        <x:v>Jade lizard (put + call credit spread)</x:v>
      </x:c>
      <x:c r="D157" s="6" t="str">
        <x:v>OPT</x:v>
      </x:c>
      <x:c r="E157" s="6" t="str">
        <x:v>1mo</x:v>
      </x:c>
      <x:c r="F157" s="6" t="str">
        <x:v>Sell 30DTE put abs delta .30, sell call delta .30, buy call delta .15 same expiration; require total credit &gt;= call vertical width if targeting zero upside loss.</x:v>
      </x:c>
      <x:c r="G157" s="6" t="str">
        <x:v>Close for 50% credit, 7DTE; downside naked-put-equivalent margin and assignment.</x:v>
      </x:c>
      <x:c r="H157" s="6" t="str">
        <x:v>put .2/.3; call .2/.3; wing .1/.15</x:v>
      </x:c>
      <x:c r="I157" s="6" t="str">
        <x:v>OPT_NAKED</x:v>
      </x:c>
      <x:c r="J157" s="6" t="str">
        <x:v>Hypothesis</x:v>
      </x:c>
      <x:c r="K157" s="6" t="str"/>
      <x:c r="L157" s="6" t="str"/>
      <x:c r="M157" s="6" t="str">
        <x:v>https://www.optionseducation.org/strategies/all-strategies-en</x:v>
      </x:c>
    </x:row>
    <x:row r="158" ht="44" customHeight="1">
      <x:c r="A158" s="6" t="str">
        <x:v>S157</x:v>
      </x:c>
      <x:c r="B158" s="6" t="str">
        <x:v>Options directional / income</x:v>
      </x:c>
      <x:c r="C158" s="6" t="str">
        <x:v>Covered strangle</x:v>
      </x:c>
      <x:c r="D158" s="6" t="str">
        <x:v>STK+OPT</x:v>
      </x:c>
      <x:c r="E158" s="6" t="str">
        <x:v>1mo</x:v>
      </x:c>
      <x:c r="F158" s="6" t="str">
        <x:v>Hold 100 shares per call; sell call +0.20delta and sell put -0.20delta, same 30DTE; cash collateral for potential put assignment.</x:v>
      </x:c>
      <x:c r="G158" s="6" t="str">
        <x:v>Close/roll 7DTE; account additional shares if put assigned.</x:v>
      </x:c>
      <x:c r="H158" s="6" t="str">
        <x:v>deltas .15/.2/.3; DTE 30/45</x:v>
      </x:c>
      <x:c r="I158" s="6" t="str">
        <x:v>OPT_CASHSEC</x:v>
      </x:c>
      <x:c r="J158" s="6" t="str">
        <x:v>Hypothesis</x:v>
      </x:c>
      <x:c r="K158" s="6" t="str"/>
      <x:c r="L158" s="6" t="str"/>
      <x:c r="M158" s="6" t="str">
        <x:v>https://www.optionseducation.org/strategies/all-strategies-en</x:v>
      </x:c>
    </x:row>
    <x:row r="159" ht="44" customHeight="1">
      <x:c r="A159" s="6" t="str">
        <x:v>S158</x:v>
      </x:c>
      <x:c r="B159" s="6" t="str">
        <x:v>Options events / skew / short-dated</x:v>
      </x:c>
      <x:c r="C159" s="6" t="str">
        <x:v>Earnings long straddle pre-release</x:v>
      </x:c>
      <x:c r="D159" s="6" t="str">
        <x:v>OPT</x:v>
      </x:c>
      <x:c r="E159" s="6" t="str">
        <x:v>event</x:v>
      </x:c>
      <x:c r="F159" s="6" t="str">
        <x:v>At 15:30 ET day before an after-close earnings release buy ATM straddle nearest post-release expiry at 3-10DTE; for before-open release buy at 15:30 prior calendar session.</x:v>
      </x:c>
      <x:c r="G159" s="6" t="str">
        <x:v>Exit both legs first next RTH 09:45 via quotes after actual release; no theoretical fills at earnings gap.</x:v>
      </x:c>
      <x:c r="H159" s="6" t="str">
        <x:v>DTE 3/7/10; entry 15:00/15:30; exit 09:35/09:45</x:v>
      </x:c>
      <x:c r="I159" s="6" t="str">
        <x:v>OPT_DEBIT</x:v>
      </x:c>
      <x:c r="J159" s="6" t="str">
        <x:v>Hypothesis</x:v>
      </x:c>
      <x:c r="K159" s="6" t="str">
        <x:v>Earnings releases and chain quotes exact timestamp, IV crush</x:v>
      </x:c>
      <x:c r="L159" s="6" t="str"/>
      <x:c r="M159" s="6" t="str">
        <x:v>https://www.optionseducation.org/strategies/all-strategies-en</x:v>
      </x:c>
    </x:row>
    <x:row r="160" ht="44" customHeight="1">
      <x:c r="A160" s="6" t="str">
        <x:v>S159</x:v>
      </x:c>
      <x:c r="B160" s="6" t="str">
        <x:v>Options events / skew / short-dated</x:v>
      </x:c>
      <x:c r="C160" s="6" t="str">
        <x:v>Earnings short iron condor pre-release</x:v>
      </x:c>
      <x:c r="D160" s="6" t="str">
        <x:v>OPT</x:v>
      </x:c>
      <x:c r="E160" s="6" t="str">
        <x:v>event</x:v>
      </x:c>
      <x:c r="F160" s="6" t="str">
        <x:v>Before scheduled earnings choose same nearest post-release expiry: short put -0.20, short call +0.20, buy wings -.05/+.05, only if credit&gt;0 and protected wings.</x:v>
      </x:c>
      <x:c r="G160" s="6" t="str">
        <x:v>Exit next day 09:45 or at expiry; simulate assignment after extreme gap.</x:v>
      </x:c>
      <x:c r="H160" s="6" t="str">
        <x:v>short .15/.2/.25; wing .05/.1; DTE 3-10</x:v>
      </x:c>
      <x:c r="I160" s="6" t="str">
        <x:v>OPT_CREDIT</x:v>
      </x:c>
      <x:c r="J160" s="6" t="str">
        <x:v>Hypothesis</x:v>
      </x:c>
      <x:c r="K160" s="6" t="str"/>
      <x:c r="L160" s="6" t="str"/>
      <x:c r="M160" s="6" t="str">
        <x:v>https://www.optionseducation.org/strategies/all-strategies-en</x:v>
      </x:c>
    </x:row>
    <x:row r="161" ht="44" customHeight="1">
      <x:c r="A161" s="6" t="str">
        <x:v>S160</x:v>
      </x:c>
      <x:c r="B161" s="6" t="str">
        <x:v>Options events / skew / short-dated</x:v>
      </x:c>
      <x:c r="C161" s="6" t="str">
        <x:v>Post-event volatility crush short spread</x:v>
      </x:c>
      <x:c r="D161" s="6" t="str">
        <x:v>OPT</x:v>
      </x:c>
      <x:c r="E161" s="6" t="str">
        <x:v>event</x:v>
      </x:c>
      <x:c r="F161" s="6" t="str">
        <x:v>At first next trading-day 10:00 after earnings release, if current 30DTE ATM IV percentile &gt;70, sell 30DTE 0.20delta put vertical ONLY when stock closes above opening range.</x:v>
      </x:c>
      <x:c r="G161" s="6" t="str">
        <x:v>Exit at 50% credit, 7DTE, or underlying below 5d low.</x:v>
      </x:c>
      <x:c r="H161" s="6" t="str">
        <x:v>IV pct 60/70/80; delta .2/.3</x:v>
      </x:c>
      <x:c r="I161" s="6" t="str">
        <x:v>OPT_CREDIT</x:v>
      </x:c>
      <x:c r="J161" s="6" t="str">
        <x:v>Hypothesis</x:v>
      </x:c>
      <x:c r="K161" s="6" t="str"/>
      <x:c r="L161" s="6" t="str"/>
      <x:c r="M161" s="6" t="str">
        <x:v>https://www.optionseducation.org/strategies/all-strategies-en</x:v>
      </x:c>
    </x:row>
    <x:row r="162" ht="44" customHeight="1">
      <x:c r="A162" s="6" t="str">
        <x:v>S161</x:v>
      </x:c>
      <x:c r="B162" s="6" t="str">
        <x:v>Options events / skew / short-dated</x:v>
      </x:c>
      <x:c r="C162" s="6" t="str">
        <x:v>SPX 0DTE 20delta iron condor</x:v>
      </x:c>
      <x:c r="D162" s="6" t="str">
        <x:v>OPT</x:v>
      </x:c>
      <x:c r="E162" s="6" t="str">
        <x:v>1m</x:v>
      </x:c>
      <x:c r="F162" s="6" t="str">
        <x:v>At 10:00 ET on confirmed PM-settled SPX 0DTE expiry, sell 0.20delta call/put, buy 0.05delta protective call/put at same expiry; enter complex order with executable quotes.</x:v>
      </x:c>
      <x:c r="G162" s="6" t="str">
        <x:v>Close both verticals before 15:30 ET, or at 50% credit captured / 2x credit debit stop; account PM settlement if held.</x:v>
      </x:c>
      <x:c r="H162" s="6" t="str">
        <x:v>Entry 09:45/10:00/11:00; delta .1/.2/.25; TP 25/50%</x:v>
      </x:c>
      <x:c r="I162" s="6" t="str">
        <x:v>OPT_CREDIT</x:v>
      </x:c>
      <x:c r="J162" s="6" t="str">
        <x:v>Hypothesis</x:v>
      </x:c>
      <x:c r="K162" s="6" t="str"/>
      <x:c r="L162" s="6" t="str">
        <x:v>Extreme gamma and rapidly changing option bid/ask</x:v>
      </x:c>
      <x:c r="M162" s="6" t="str">
        <x:v>https://www.cboe.com/tradable-products/0dte</x:v>
      </x:c>
    </x:row>
    <x:row r="163" ht="44" customHeight="1">
      <x:c r="A163" s="6" t="str">
        <x:v>S162</x:v>
      </x:c>
      <x:c r="B163" s="6" t="str">
        <x:v>Options events / skew / short-dated</x:v>
      </x:c>
      <x:c r="C163" s="6" t="str">
        <x:v>SPX 0DTE put credit spread</x:v>
      </x:c>
      <x:c r="D163" s="6" t="str">
        <x:v>OPT</x:v>
      </x:c>
      <x:c r="E163" s="6" t="str">
        <x:v>1m</x:v>
      </x:c>
      <x:c r="F163" s="6" t="str">
        <x:v>At 10:00 ET if SPX above VWAP and open&gt;prior close, sell 0.20delta put and buy 0.05delta put same PM-settled 0DTE expiry.</x:v>
      </x:c>
      <x:c r="G163" s="6" t="str">
        <x:v>Close at 50% original credit, 2x credit to close or 15:30, whichever first.</x:v>
      </x:c>
      <x:c r="H163" s="6" t="str">
        <x:v>Entry 10/11am; short delta .1/.2/.3; wing .05/.1</x:v>
      </x:c>
      <x:c r="I163" s="6" t="str">
        <x:v>OPT_CREDIT</x:v>
      </x:c>
      <x:c r="J163" s="6" t="str">
        <x:v>Hypothesis</x:v>
      </x:c>
      <x:c r="K163" s="6" t="str"/>
      <x:c r="L163" s="6" t="str"/>
      <x:c r="M163" s="6" t="str">
        <x:v>https://www.cboe.com/tradable-products/0dte</x:v>
      </x:c>
    </x:row>
    <x:row r="164" ht="44" customHeight="1">
      <x:c r="A164" s="6" t="str">
        <x:v>S163</x:v>
      </x:c>
      <x:c r="B164" s="6" t="str">
        <x:v>Options events / skew / short-dated</x:v>
      </x:c>
      <x:c r="C164" s="6" t="str">
        <x:v>SPX 0DTE call debit breakout</x:v>
      </x:c>
      <x:c r="D164" s="6" t="str">
        <x:v>OPT</x:v>
      </x:c>
      <x:c r="E164" s="6" t="str">
        <x:v>1m</x:v>
      </x:c>
      <x:c r="F164" s="6" t="str">
        <x:v>At 10:00-12:00 ET SPX 5m close above first 30m high; buy call delta .55 and sell call delta .25 same 0DTE PM-settled expiry.</x:v>
      </x:c>
      <x:c r="G164" s="6" t="str">
        <x:v>Exit when underlying below 5m VWAP, option debit loss 50%, or 15:30.</x:v>
      </x:c>
      <x:c r="H164" s="6" t="str">
        <x:v>OR15/30m; Deltas .5/.55 and .2/.25</x:v>
      </x:c>
      <x:c r="I164" s="6" t="str">
        <x:v>OPT_DEBIT</x:v>
      </x:c>
      <x:c r="J164" s="6" t="str">
        <x:v>Hypothesis</x:v>
      </x:c>
      <x:c r="K164" s="6" t="str"/>
      <x:c r="L164" s="6" t="str"/>
      <x:c r="M164" s="6" t="str">
        <x:v>https://www.cboe.com/tradable-products/0dte</x:v>
      </x:c>
    </x:row>
    <x:row r="165" ht="44" customHeight="1">
      <x:c r="A165" s="6" t="str">
        <x:v>S164</x:v>
      </x:c>
      <x:c r="B165" s="6" t="str">
        <x:v>Options events / skew / short-dated</x:v>
      </x:c>
      <x:c r="C165" s="6" t="str">
        <x:v>SPX 0DTE long straddle at macro release</x:v>
      </x:c>
      <x:c r="D165" s="6" t="str">
        <x:v>OPT</x:v>
      </x:c>
      <x:c r="E165" s="6" t="str">
        <x:v>event</x:v>
      </x:c>
      <x:c r="F165" s="6" t="str">
        <x:v>5 minutes BEFORE timestamped FOMC statement (not press conference), buy nearest ATM call and put expiring same PM-settled day at recorded NBBO.</x:v>
      </x:c>
      <x:c r="G165" s="6" t="str">
        <x:v>Exit exactly 30 minutes after statement using first available nonlocked NBBO; no hindsight of direction.</x:v>
      </x:c>
      <x:c r="H165" s="6" t="str">
        <x:v>entry -5/-10m; exit +15/+30/+60m</x:v>
      </x:c>
      <x:c r="I165" s="6" t="str">
        <x:v>OPT_DEBIT</x:v>
      </x:c>
      <x:c r="J165" s="6" t="str">
        <x:v>Hypothesis</x:v>
      </x:c>
      <x:c r="K165" s="6" t="str">
        <x:v>Clock synchronization, Fed release schedule, quote snapshots</x:v>
      </x:c>
      <x:c r="L165" s="6" t="str"/>
      <x:c r="M165" s="6" t="str">
        <x:v>https://www.cboe.com/tradable-products/0dte</x:v>
      </x:c>
    </x:row>
    <x:row r="166" ht="44" customHeight="1">
      <x:c r="A166" s="6" t="str">
        <x:v>S165</x:v>
      </x:c>
      <x:c r="B166" s="6" t="str">
        <x:v>Options events / skew / short-dated</x:v>
      </x:c>
      <x:c r="C166" s="6" t="str">
        <x:v>Options IV percentile mean reversion</x:v>
      </x:c>
      <x:c r="D166" s="6" t="str">
        <x:v>OPT</x:v>
      </x:c>
      <x:c r="E166" s="6" t="str">
        <x:v>1d</x:v>
      </x:c>
      <x:c r="F166" s="6" t="str">
        <x:v>If current 30DTE interpolated ATM IV at 90th percentile of its own trailing 252 trading days, open defined-risk 30DTE iron condor (20/5 deltas); only if spread filters pass.</x:v>
      </x:c>
      <x:c r="G166" s="6" t="str">
        <x:v>Exit when IV pct &lt;=50, or 50% credit captured or 7DTE.</x:v>
      </x:c>
      <x:c r="H166" s="6" t="str">
        <x:v>IV pct 80/90/95; exit 40/50/60</x:v>
      </x:c>
      <x:c r="I166" s="6" t="str">
        <x:v>OPT_CREDIT</x:v>
      </x:c>
      <x:c r="J166" s="6" t="str">
        <x:v>Hypothesis</x:v>
      </x:c>
      <x:c r="K166" s="6" t="str"/>
      <x:c r="L166" s="6" t="str"/>
      <x:c r="M166" s="6" t="str">
        <x:v>https://www.optionseducation.org/strategies/all-strategies-en</x:v>
      </x:c>
    </x:row>
    <x:row r="167" ht="44" customHeight="1">
      <x:c r="A167" s="6" t="str">
        <x:v>S166</x:v>
      </x:c>
      <x:c r="B167" s="6" t="str">
        <x:v>Options events / skew / short-dated</x:v>
      </x:c>
      <x:c r="C167" s="6" t="str">
        <x:v>Skew steepening put spread</x:v>
      </x:c>
      <x:c r="D167" s="6" t="str">
        <x:v>OPT</x:v>
      </x:c>
      <x:c r="E167" s="6" t="str">
        <x:v>1d</x:v>
      </x:c>
      <x:c r="F167" s="6" t="str">
        <x:v>Define skew=IV30DTE(put delta -.25)-IV30DTE(call +.25); if skew zscore previous 252d &lt;-2, buy 30DTE 0.25delta put and sell lower 0.10delta put for debit.</x:v>
      </x:c>
      <x:c r="G167" s="6" t="str">
        <x:v>Close if skew z&gt;=0 or at 7DTE; directional delta not neutral; report separately.</x:v>
      </x:c>
      <x:c r="H167" s="6" t="str">
        <x:v>skew z -1.5/-2/-2.5; DTE 30/45</x:v>
      </x:c>
      <x:c r="I167" s="6" t="str">
        <x:v>OPT_DEBIT</x:v>
      </x:c>
      <x:c r="J167" s="6" t="str">
        <x:v>Hypothesis</x:v>
      </x:c>
      <x:c r="K167" s="6" t="str"/>
      <x:c r="L167" s="6" t="str"/>
      <x:c r="M167" s="6" t="str">
        <x:v>https://www.optionseducation.org/strategies/all-strategies-en</x:v>
      </x:c>
    </x:row>
    <x:row r="168" ht="44" customHeight="1">
      <x:c r="A168" s="6" t="str">
        <x:v>S167</x:v>
      </x:c>
      <x:c r="B168" s="6" t="str">
        <x:v>Options events / skew / short-dated</x:v>
      </x:c>
      <x:c r="C168" s="6" t="str">
        <x:v>Call-put IV skew risk reversal spread</x:v>
      </x:c>
      <x:c r="D168" s="6" t="str">
        <x:v>OPT</x:v>
      </x:c>
      <x:c r="E168" s="6" t="str">
        <x:v>1d</x:v>
      </x:c>
      <x:c r="F168" s="6" t="str">
        <x:v>If put-minus-call 25delta IV skew zscore&gt;+2, sell 25delta put, buy 25delta call same expiry and hedge net option delta with shares.</x:v>
      </x:c>
      <x:c r="G168" s="6" t="str">
        <x:v>Close when skew zscore&lt;0.5 or DTE&lt;=7; fund naked leg margin.</x:v>
      </x:c>
      <x:c r="H168" s="6" t="str">
        <x:v>skew z 1.5/2/2.5; hedge daily/weekly</x:v>
      </x:c>
      <x:c r="I168" s="6" t="str">
        <x:v>OPT_NAKED</x:v>
      </x:c>
      <x:c r="J168" s="6" t="str">
        <x:v>Hypothesis</x:v>
      </x:c>
      <x:c r="K168" s="6" t="str"/>
      <x:c r="L168" s="6" t="str"/>
      <x:c r="M168" s="6" t="str">
        <x:v>https://www.optionseducation.org/strategies/all-strategies-en</x:v>
      </x:c>
    </x:row>
    <x:row r="169" ht="44" customHeight="1">
      <x:c r="A169" s="6" t="str">
        <x:v>S168</x:v>
      </x:c>
      <x:c r="B169" s="6" t="str">
        <x:v>Options events / skew / short-dated</x:v>
      </x:c>
      <x:c r="C169" s="6" t="str">
        <x:v>IV term-structure call calendar</x:v>
      </x:c>
      <x:c r="D169" s="6" t="str">
        <x:v>OPT</x:v>
      </x:c>
      <x:c r="E169" s="6" t="str">
        <x:v>1d</x:v>
      </x:c>
      <x:c r="F169" s="6" t="str">
        <x:v>If 30DTE ATM IV exceeds 60DTE ATM IV by &gt;=5 vol points, sell near 30DTE ATM call, buy 60DTE same-strike call.</x:v>
      </x:c>
      <x:c r="G169" s="6" t="str">
        <x:v>Exit when term spread &lt;=0 or near DTE&lt;=7.</x:v>
      </x:c>
      <x:c r="H169" s="6" t="str">
        <x:v>term spread 2/5/8vol pts; legs 30/60 vs 21/45</x:v>
      </x:c>
      <x:c r="I169" s="6" t="str">
        <x:v>OPT_DEBIT</x:v>
      </x:c>
      <x:c r="J169" s="6" t="str">
        <x:v>Hypothesis</x:v>
      </x:c>
      <x:c r="K169" s="6" t="str"/>
      <x:c r="L169" s="6" t="str"/>
      <x:c r="M169" s="6" t="str">
        <x:v>https://www.optionseducation.org/strategies/all-strategies-en</x:v>
      </x:c>
    </x:row>
    <x:row r="170" ht="44" customHeight="1">
      <x:c r="A170" s="6" t="str">
        <x:v>S169</x:v>
      </x:c>
      <x:c r="B170" s="6" t="str">
        <x:v>Options events / skew / short-dated</x:v>
      </x:c>
      <x:c r="C170" s="6" t="str">
        <x:v>Volatility forecast vs implied short put spread</x:v>
      </x:c>
      <x:c r="D170" s="6" t="str">
        <x:v>OPT</x:v>
      </x:c>
      <x:c r="E170" s="6" t="str">
        <x:v>1d</x:v>
      </x:c>
      <x:c r="F170" s="6" t="str">
        <x:v>If model (specified ex ante) predicts next 30d realized sigma &lt; quoted 30DTE ATM IV -5 vol pts, sell -0.25delta/ buy -.1 put, 30DTE.</x:v>
      </x:c>
      <x:c r="G170" s="6" t="str">
        <x:v>Exit 50% credit, 7DTE or forecast edge&lt;1vol pt.</x:v>
      </x:c>
      <x:c r="H170" s="6" t="str">
        <x:v>Edge 3/5/7 vol pts; forecast HAR-RV/20d realized</x:v>
      </x:c>
      <x:c r="I170" s="6" t="str">
        <x:v>OPT_CREDIT</x:v>
      </x:c>
      <x:c r="J170" s="6" t="str">
        <x:v>Hypothesis</x:v>
      </x:c>
      <x:c r="K170" s="6" t="str">
        <x:v>Walk-forward realized-vol model training only</x:v>
      </x:c>
      <x:c r="L170" s="6" t="str"/>
      <x:c r="M170" s="6" t="str">
        <x:v>https://www.optionseducation.org/strategies/all-strategies-en</x:v>
      </x:c>
    </x:row>
    <x:row r="171" ht="44" customHeight="1">
      <x:c r="A171" s="6" t="str">
        <x:v>S170</x:v>
      </x:c>
      <x:c r="B171" s="6" t="str">
        <x:v>Options events / skew / short-dated</x:v>
      </x:c>
      <x:c r="C171" s="6" t="str">
        <x:v>Dispersion proxy sector options</x:v>
      </x:c>
      <x:c r="D171" s="6" t="str">
        <x:v>OPT</x:v>
      </x:c>
      <x:c r="E171" s="6" t="str">
        <x:v>1mo</x:v>
      </x:c>
      <x:c r="F171" s="6" t="str">
        <x:v>Sell 30DTE ATM SPY straddle and buy dollar-vega matched ATM straddles across fixed 5 highest-weight sector ETFs, net initial delta hedged.</x:v>
      </x:c>
      <x:c r="G171" s="6" t="str">
        <x:v>Rehedge delta daily and close at DTE&lt;=7; model each ETF option quotes and cross-correlation.</x:v>
      </x:c>
      <x:c r="H171" s="6" t="str">
        <x:v>Vega ratio .75/1/1.25; 5/11 sectors</x:v>
      </x:c>
      <x:c r="I171" s="6" t="str">
        <x:v>OPT_NAKED</x:v>
      </x:c>
      <x:c r="J171" s="6" t="str">
        <x:v>Hypothesis</x:v>
      </x:c>
      <x:c r="K171" s="6" t="str"/>
      <x:c r="L171" s="6" t="str">
        <x:v>Short index variance, long constituent variance imperfect hedge; tail correlations</x:v>
      </x:c>
      <x:c r="M171" s="6" t="str">
        <x:v>https://www.optionseducation.org/strategies/all-strategies-en</x:v>
      </x:c>
    </x:row>
    <x:row r="172" ht="44" customHeight="1">
      <x:c r="A172" s="6" t="str">
        <x:v>S171</x:v>
      </x:c>
      <x:c r="B172" s="6" t="str">
        <x:v>Options events / skew / short-dated</x:v>
      </x:c>
      <x:c r="C172" s="6" t="str">
        <x:v>Put-call parity violation screen</x:v>
      </x:c>
      <x:c r="D172" s="6" t="str">
        <x:v>OPT+STK</x:v>
      </x:c>
      <x:c r="E172" s="6" t="str">
        <x:v>1m</x:v>
      </x:c>
      <x:c r="F172" s="6" t="str">
        <x:v>For same strike/expiry quote synchronized bid/ask, compute executable conversion/reversal inequalities using discounted strike, dividends, borrow, American exercise; ENTER only if arbitrage after all costs.</x:v>
      </x:c>
      <x:c r="G172" s="6" t="str">
        <x:v>Hold until parity converges or expiration; enforce stock/option locates and early assignment.</x:v>
      </x:c>
      <x:c r="H172" s="6" t="str">
        <x:v>Min edge 10/25/50bp of underlying notional; borrow 0/5/20%</x:v>
      </x:c>
      <x:c r="I172" s="6" t="str">
        <x:v>OPT_ARBITRAGE</x:v>
      </x:c>
      <x:c r="J172" s="6" t="str">
        <x:v>Hypothesis</x:v>
      </x:c>
      <x:c r="K172" s="6" t="str"/>
      <x:c r="L172" s="6" t="str">
        <x:v>Most apparent signals are stale quotes or unmodeled borrow/dividends</x:v>
      </x:c>
      <x:c r="M172" s="6" t="str">
        <x:v>https://www.optionseducation.org/strategies/all-strategies-en</x:v>
      </x:c>
    </x:row>
    <x:row r="173" ht="44" customHeight="1">
      <x:c r="A173" s="6" t="str">
        <x:v>S172</x:v>
      </x:c>
      <x:c r="B173" s="6" t="str">
        <x:v>Options events / skew / short-dated</x:v>
      </x:c>
      <x:c r="C173" s="6" t="str">
        <x:v>Box spread financing carry</x:v>
      </x:c>
      <x:c r="D173" s="6" t="str">
        <x:v>OPT</x:v>
      </x:c>
      <x:c r="E173" s="6" t="str">
        <x:v>1mo</x:v>
      </x:c>
      <x:c r="F173" s="6" t="str">
        <x:v>Construct fully cash-settled European SPX four-leg box using same expiry and strikes K1&lt;K2: buy call K1/sell call K2 + buy put K2/sell put K1; use simultaneous executable quote.</x:v>
      </x:c>
      <x:c r="G173" s="6" t="str">
        <x:v>Hold to correct cash settlement; compare discounted guaranteed terminal width*100 against net debit, funding rate, fees and margin.</x:v>
      </x:c>
      <x:c r="H173" s="6" t="str">
        <x:v>DTE 30/90/180; width 25/50/100points</x:v>
      </x:c>
      <x:c r="I173" s="6" t="str">
        <x:v>OPT_ARBITRAGE</x:v>
      </x:c>
      <x:c r="J173" s="6" t="str">
        <x:v>Hypothesis</x:v>
      </x:c>
      <x:c r="K173" s="6" t="str"/>
      <x:c r="L173" s="6" t="str">
        <x:v>Execution and funding dominate; option-style mix can break arbitrage</x:v>
      </x:c>
      <x:c r="M173" s="6" t="str">
        <x:v>https://www.cboe.com/tradable_products/product_comparison/</x:v>
      </x:c>
    </x:row>
  </x:sheetData>
  <x:pageMargins left="0.7" right="0.7" top="0.75" bottom="0.75" header="0.3" footer="0.3"/>
  <x:tableParts count="1">
    <x:tablePart xmlns:r="http://schemas.openxmlformats.org/officeDocument/2006/relationships" r:id="R18a470b3b6bc41e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00" hidden="0" customWidth="1"/>
  </x:cols>
  <x:sheetData>
    <x:row r="1" ht="28" customHeight="1">
      <x:c r="A1" s="3" t="str">
        <x:v>Profile</x:v>
      </x:c>
      <x:c r="B1" s="3" t="str">
        <x:v>Exact research default</x:v>
      </x:c>
    </x:row>
    <x:row r="2" ht="46" customHeight="1">
      <x:c r="A2" s="6" t="str">
        <x:v>DAY_RISK</x:v>
      </x:c>
      <x:c r="B2" s="6" t="str">
        <x:v>Risk at initial planned stop = 0.25% of prior-day NAV; gross single-name cap = 10% NAV; no new entries after 15:15 ET, flat by 15:55 ET.</x:v>
      </x:c>
    </x:row>
    <x:row r="3" ht="46" customHeight="1">
      <x:c r="A3" s="6" t="str">
        <x:v>DAY_NOTIONAL</x:v>
      </x:c>
      <x:c r="B3" s="6" t="str">
        <x:v>Notional = 10% of prior-day NAV per instrument; one open position per instrument; exit before RTH end.</x:v>
      </x:c>
    </x:row>
    <x:row r="4" ht="46" customHeight="1">
      <x:c r="A4" s="6" t="str">
        <x:v>SWING_RISK</x:v>
      </x:c>
      <x:c r="B4" s="6" t="str">
        <x:v>Risk at initial stop = 0.50% current NAV; notional &lt;=10% NAV; aggregate equity gross &lt;=100% unless stated.</x:v>
      </x:c>
    </x:row>
    <x:row r="5" ht="46" customHeight="1">
      <x:c r="A5" s="6" t="str">
        <x:v>SWING_NOTIONAL</x:v>
      </x:c>
      <x:c r="B5" s="6" t="str">
        <x:v>Long notional 10% of NAV per instrument (shorts +/-5% NAV gross); no implicit leverage.</x:v>
      </x:c>
    </x:row>
    <x:row r="6" ht="46" customHeight="1">
      <x:c r="A6" s="6" t="str">
        <x:v>CROSS_SECTION</x:v>
      </x:c>
      <x:c r="B6" s="6" t="str">
        <x:v>Long basket +50% NAV, short basket -50% NAV, equal weights among selected names, sector caps +/-10% and single-name &lt;=2% NAV; cash/borrow and margin modeled.</x:v>
      </x:c>
    </x:row>
    <x:row r="7" ht="46" customHeight="1">
      <x:c r="A7" s="6" t="str">
        <x:v>PORTFOLIO</x:v>
      </x:c>
      <x:c r="B7" s="6" t="str">
        <x:v>Weights sum to &lt;=100% unless explicit leverage; residual in historical short Treasury/cash earning financing rate; next-session rebalancing.</x:v>
      </x:c>
    </x:row>
    <x:row r="8" ht="46" customHeight="1">
      <x:c r="A8" s="6" t="str">
        <x:v>PAIRS</x:v>
      </x:c>
      <x:c r="B8" s="6" t="str">
        <x:v>Dollar-neutral pair gross 10% NAV (5% long+5% short); hedge ratio from prior formation only; daily borrow costs.</x:v>
      </x:c>
    </x:row>
    <x:row r="9" ht="46" customHeight="1">
      <x:c r="A9" s="6" t="str">
        <x:v>OPT_DEBIT</x:v>
      </x:c>
      <x:c r="B9" s="6" t="str">
        <x:v>Each package max initial debit &lt;=0.50% NAV; max portfolio option debit exposure 5% NAV; integer contracts, multiplier/deliverable verified.</x:v>
      </x:c>
    </x:row>
    <x:row r="10" ht="46" customHeight="1">
      <x:c r="A10" s="6" t="str">
        <x:v>OPT_CREDIT</x:v>
      </x:c>
      <x:c r="B10" s="6" t="str">
        <x:v>Each package MAX theoretical defined loss &lt;=0.50% NAV and collateral reserved; integer contracts; no naked leg exposure.</x:v>
      </x:c>
    </x:row>
    <x:row r="11" ht="46" customHeight="1">
      <x:c r="A11" s="6" t="str">
        <x:v>OPT_NAKED</x:v>
      </x:c>
      <x:c r="B11" s="6" t="str">
        <x:v>Margin as broker/exchange schedule at historic time; cap worst-case stress loss to 1% NAV on predefined scenario but unbounded risks remain; never assume zero margin.</x:v>
      </x:c>
    </x:row>
    <x:row r="12" ht="46" customHeight="1">
      <x:c r="A12" s="6" t="str">
        <x:v>OPT_COVERED</x:v>
      </x:c>
      <x:c r="B12" s="6" t="str">
        <x:v>100 shares per call contract; shares + options combined P&amp;L and dividends; cap total underlying gross exposure 10% NAV.</x:v>
      </x:c>
    </x:row>
    <x:row r="13" ht="46" customHeight="1">
      <x:c r="A13" s="6" t="str">
        <x:v>OPT_CASHSEC</x:v>
      </x:c>
      <x:c r="B13" s="6" t="str">
        <x:v>100*put strike USD reserved per standard contract or equivalent deliverable cash; other equity gross caps apply; margin cannot be double counted.</x:v>
      </x:c>
    </x:row>
    <x:row r="14" ht="46" customHeight="1">
      <x:c r="A14" s="6" t="str">
        <x:v>OPT_ARBITRAGE</x:v>
      </x:c>
      <x:c r="B14" s="6" t="str">
        <x:v>Position only if executable quoted market after fees, borrow, funding and margin shows positive modeled edge; short-leg locates required.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28" customHeight="1">
      <x:c r="A1" s="3" t="str">
        <x:v>Source key</x:v>
      </x:c>
      <x:c r="B1" s="3" t="str">
        <x:v>Reference URL</x:v>
      </x:c>
    </x:row>
    <x:row r="2">
      <x:c r="A2" t="str">
        <x:v>orb</x:v>
      </x:c>
      <x:c r="B2" t="str">
        <x:v>https://papers.ssrn.com/sol3/papers.cfm?abstract_id=4729284</x:v>
      </x:c>
    </x:row>
    <x:row r="3">
      <x:c r="A3" t="str">
        <x:v>intraday</x:v>
      </x:c>
      <x:c r="B3" t="str">
        <x:v>https://www.sciencedirect.com/science/article/pii/S0304405X18301351</x:v>
      </x:c>
    </x:row>
    <x:row r="4">
      <x:c r="A4" t="str">
        <x:v>momentum</x:v>
      </x:c>
      <x:c r="B4" t="str">
        <x:v>https://doi.org/10.1111/j.1540-6261.1993.tb04702.x</x:v>
      </x:c>
    </x:row>
    <x:row r="5">
      <x:c r="A5" t="str">
        <x:v>tsmom</x:v>
      </x:c>
      <x:c r="B5" t="str">
        <x:v>https://doi.org/10.1016/j.jfineco.2011.11.003</x:v>
      </x:c>
    </x:row>
    <x:row r="6">
      <x:c r="A6" t="str">
        <x:v>patterns</x:v>
      </x:c>
      <x:c r="B6" t="str">
        <x:v>https://www.nber.org/papers/w7613</x:v>
      </x:c>
    </x:row>
    <x:row r="7">
      <x:c r="A7" t="str">
        <x:v>pair</x:v>
      </x:c>
      <x:c r="B7" t="str">
        <x:v>https://doi.org/10.1093/rfs/hhj020</x:v>
      </x:c>
    </x:row>
    <x:row r="8">
      <x:c r="A8" t="str">
        <x:v>reversal</x:v>
      </x:c>
      <x:c r="B8" t="str">
        <x:v>https://doi.org/10.2307/2937816</x:v>
      </x:c>
    </x:row>
    <x:row r="9">
      <x:c r="A9" t="str">
        <x:v>52w</x:v>
      </x:c>
      <x:c r="B9" t="str">
        <x:v>https://onlinelibrary.wiley.com/doi/10.1111/j.1540-6261.2004.00695.x</x:v>
      </x:c>
    </x:row>
    <x:row r="10">
      <x:c r="A10" t="str">
        <x:v>pead</x:v>
      </x:c>
      <x:c r="B10" t="str">
        <x:v>https://doi.org/10.1016/j.jbef.2020.100446</x:v>
      </x:c>
    </x:row>
    <x:row r="11">
      <x:c r="A11" t="str">
        <x:v>quality</x:v>
      </x:c>
      <x:c r="B11" t="str">
        <x:v>https://www.aqr.com/insights/research/working-paper/quality-minus-junk</x:v>
      </x:c>
    </x:row>
    <x:row r="12">
      <x:c r="A12" t="str">
        <x:v>factor</x:v>
      </x:c>
      <x:c r="B12" t="str">
        <x:v>https://mba.tuck.dartmouth.edu/pages/faculty/ken.french/Data_Library/f-f_factors.html</x:v>
      </x:c>
    </x:row>
    <x:row r="13">
      <x:c r="A13" t="str">
        <x:v>options</x:v>
      </x:c>
      <x:c r="B13" t="str">
        <x:v>https://www.optionseducation.org/strategies/all-strategies-en</x:v>
      </x:c>
    </x:row>
    <x:row r="14">
      <x:c r="A14" t="str">
        <x:v>cndr</x:v>
      </x:c>
      <x:c r="B14" t="str">
        <x:v>https://www.cboe.com/insights/posts/benchmark-indices-series-volatility-management-with-cboes-bfly-and-cndr-indices</x:v>
      </x:c>
    </x:row>
    <x:row r="15">
      <x:c r="A15" t="str">
        <x:v>putwrite</x:v>
      </x:c>
      <x:c r="B15" t="str">
        <x:v>https://cdn.cboe.com/resources/indices/factsheet/CboeGlobalIndices_PUT-Index.pdf</x:v>
      </x:c>
    </x:row>
    <x:row r="16">
      <x:c r="A16" t="str">
        <x:v>0dte</x:v>
      </x:c>
      <x:c r="B16" t="str">
        <x:v>https://www.cboe.com/tradable-products/0dte</x:v>
      </x:c>
    </x:row>
    <x:row r="17">
      <x:c r="A17" t="str">
        <x:v>calendar</x:v>
      </x:c>
      <x:c r="B17" t="str">
        <x:v>https://rpc.cfainstitute.org/research/financial-analysts-journal/2008/equity-returns-at-the-turn-of-the-month</x:v>
      </x:c>
    </x:row>
    <x:row r="18">
      <x:c r="A18" t="str">
        <x:v>bb</x:v>
      </x:c>
      <x:c r="B18" t="str">
        <x:v>https://www.fidelity.com/learning-center/trading-investing/technical-analysis/technical-indicator-guide/bollinger-bands</x:v>
      </x:c>
    </x:row>
    <x:row r="19">
      <x:c r="A19" t="str">
        <x:v>rsi2</x:v>
      </x:c>
      <x:c r="B19" t="str">
        <x:v>https://chartschool.stockcharts.com/table-of-contents/trading-strategies-and-models/trading-strategies/rsi-2</x:v>
      </x:c>
    </x:row>
    <x:row r="20">
      <x:c r="A20" t="str">
        <x:v>etf</x:v>
      </x:c>
      <x:c r="B20" t="str">
        <x:v>https://www.investor.gov/introduction-investing/general-resources/news-alerts/alerts-bulletins/investor-alerts/sec</x:v>
      </x:c>
    </x:row>
    <x:row r="21">
      <x:c r="A21" t="str">
        <x:v>cashsettle</x:v>
      </x:c>
      <x:c r="B21" t="str">
        <x:v>https://www.cboe.com/tradable_products/product_comparison/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7" max="7" width="35" hidden="0" customWidth="1"/>
    <x:col min="8" max="8" width="64" hidden="0" customWidth="1"/>
  </x:cols>
  <x:sheetData>
    <x:row r="1" ht="30" customHeight="1">
      <x:c r="A1" s="3" t="str">
        <x:v>Scenario</x:v>
      </x:c>
      <x:c r="B1" s="3" t="str">
        <x:v>Extra bp per side</x:v>
      </x:c>
      <x:c r="C1" s="3" t="str">
        <x:v>Measured quoted spread bp</x:v>
      </x:c>
      <x:c r="D1" s="3" t="str">
        <x:v>Commissions bp per side</x:v>
      </x:c>
      <x:c r="E1" s="3" t="str">
        <x:v>All-in round-trip bp</x:v>
      </x:c>
      <x:c r="G1" t="str">
        <x:v>Example traded notional USD</x:v>
      </x:c>
      <x:c r="H1" s="8" t="n">
        <x:v>100000</x:v>
      </x:c>
    </x:row>
    <x:row r="2">
      <x:c r="A2" t="str">
        <x:v>A</x:v>
      </x:c>
      <x:c r="B2" t="n">
        <x:v>0</x:v>
      </x:c>
      <x:c r="C2" t="n">
        <x:v>1.5</x:v>
      </x:c>
      <x:c r="D2" t="n">
        <x:v>0.1</x:v>
      </x:c>
      <x:c r="E2" t="n">
        <x:f>2*B2+C2+2*D2</x:f>
        <x:v>1.7</x:v>
      </x:c>
      <x:c r="G2" t="str">
        <x:v>CAUTION</x:v>
      </x:c>
      <x:c r="H2" t="str">
        <x:v>Quoted spreads, fees and impact vary. Inputs are illustrative only.</x:v>
      </x:c>
    </x:row>
    <x:row r="3">
      <x:c r="A3" t="str">
        <x:v>B</x:v>
      </x:c>
      <x:c r="B3" t="n">
        <x:v>2</x:v>
      </x:c>
      <x:c r="C3" t="n">
        <x:v>1.5</x:v>
      </x:c>
      <x:c r="D3" t="n">
        <x:v>0.1</x:v>
      </x:c>
      <x:c r="E3" t="n">
        <x:f>2*B3+C3+2*D3</x:f>
        <x:v>5.7</x:v>
      </x:c>
      <x:c r="G3" t="str">
        <x:v>All-in dollar cost scenario B</x:v>
      </x:c>
      <x:c r="H3" s="8" t="n">
        <x:f>H1*E3/10000</x:f>
        <x:v>57</x:v>
      </x:c>
    </x:row>
    <x:row r="4">
      <x:c r="A4" t="str">
        <x:v>C</x:v>
      </x:c>
      <x:c r="B4" t="n">
        <x:v>5</x:v>
      </x:c>
      <x:c r="C4" t="n">
        <x:v>1.5</x:v>
      </x:c>
      <x:c r="D4" t="n">
        <x:v>0.1</x:v>
      </x:c>
      <x:c r="E4" t="n">
        <x:f>2*B4+C4+2*D4</x:f>
        <x:v>11.7</x:v>
      </x:c>
    </x:row>
    <x:row r="5">
      <x:c r="A5" t="str">
        <x:v>D</x:v>
      </x:c>
      <x:c r="B5" t="n">
        <x:v>10</x:v>
      </x:c>
      <x:c r="C5" t="n">
        <x:v>1.5</x:v>
      </x:c>
      <x:c r="D5" t="n">
        <x:v>0.1</x:v>
      </x:c>
      <x:c r="E5" t="n">
        <x:f>2*B5+C5+2*D5</x:f>
        <x:v>21.7</x:v>
      </x:c>
    </x:row>
    <x:row r="6">
      <x:c r="A6" t="str">
        <x:v>E</x:v>
      </x:c>
      <x:c r="B6" t="n">
        <x:v>25</x:v>
      </x:c>
      <x:c r="C6" t="n">
        <x:v>1.5</x:v>
      </x:c>
      <x:c r="D6" t="n">
        <x:v>0.1</x:v>
      </x:c>
      <x:c r="E6" t="n">
        <x:f>2*B6+C6+2*D6</x:f>
        <x:v>51.7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35" customHeight="1">
      <x:c r="A1" s="3" t="str">
        <x:v>TRADING STRATEGY ATLAS</x:v>
      </x:c>
      <x:c r="B1" s="3" t="str">
        <x:v>172 executable research baselines | 26 October 2026</x:v>
      </x:c>
    </x:row>
    <x:row r="2" ht="38" customHeight="1">
      <x:c r="A2" t="str">
        <x:v>Contents</x:v>
      </x:c>
      <x:c r="B2" s="6" t="str">
        <x:v>Strategy Library: precise entries/exits and parameter grids; Sizing Profiles; Cost Stress Calculator; Research Sources.</x:v>
      </x:c>
    </x:row>
    <x:row r="3" ht="38" customHeight="1">
      <x:c r="A3" t="str">
        <x:v>What this IS</x:v>
      </x:c>
      <x:c r="B3" s="6" t="str">
        <x:v>A research specification library. Precise baselines and source references, not evidence that every strategy earns money.</x:v>
      </x:c>
    </x:row>
    <x:row r="4" ht="38" customHeight="1">
      <x:c r="A4" t="str">
        <x:v>What this IS NOT</x:v>
      </x:c>
      <x:c r="B4" s="6" t="str">
        <x:v>No trades or historical return tests have been run. None of the proposed thresholds is proven optimal.</x:v>
      </x:c>
    </x:row>
    <x:row r="5" ht="38" customHeight="1">
      <x:c r="A5" t="str">
        <x:v>Signal timing</x:v>
      </x:c>
      <x:c r="B5" s="6" t="str">
        <x:v>Always wait for the signal bar to close. Fill at the NEXT eligible quote; never assume a fill at the past close.</x:v>
      </x:c>
    </x:row>
    <x:row r="6" ht="38" customHeight="1">
      <x:c r="A6" t="str">
        <x:v>Quote-level fills</x:v>
      </x:c>
      <x:c r="B6" s="6" t="str">
        <x:v>Buy at offer and sell at bid, plus impact and fees. For options use synchronized multi-leg quotes and true contract multipliers.</x:v>
      </x:c>
    </x:row>
    <x:row r="7" ht="38" customHeight="1">
      <x:c r="A7" t="str">
        <x:v>Cost precision</x:v>
      </x:c>
      <x:c r="B7" s="6" t="str">
        <x:v>Basis-point costs cannot be hardcoded universally. Cost calculator entries are illustrative sensitivity scenarios.</x:v>
      </x:c>
    </x:row>
    <x:row r="8" ht="38" customHeight="1">
      <x:c r="A8" t="str">
        <x:v>Stocks</x:v>
      </x:c>
      <x:c r="B8" s="6" t="str">
        <x:v>Point-in-time universe, survivorship/delisting, distributions, stock splits, short borrow and trading halts.</x:v>
      </x:c>
    </x:row>
    <x:row r="9" ht="38" customHeight="1">
      <x:c r="A9" t="str">
        <x:v>ETFs</x:v>
      </x:c>
      <x:c r="B9" s="6" t="str">
        <x:v>Fund inception, daily reset for leveraged/inverse, distributions and NAV/premium issues.</x:v>
      </x:c>
    </x:row>
    <x:row r="10" ht="38" customHeight="1">
      <x:c r="A10" t="str">
        <x:v>Options</x:v>
      </x:c>
      <x:c r="B10" s="6" t="str">
        <x:v>Actual chain/expiry/delta, American assignments, AM/PM index settlement, IV smile, spread/fees, margin.</x:v>
      </x:c>
    </x:row>
    <x:row r="11" ht="38" customHeight="1">
      <x:c r="A11" t="str">
        <x:v>Regime</x:v>
      </x:c>
      <x:c r="B11" s="6" t="str">
        <x:v>Use rolling walk-forward splits plus untouched out-of-sample data and block bootstrap.</x:v>
      </x:c>
    </x:row>
    <x:row r="12" ht="38" customHeight="1">
      <x:c r="A12" t="str">
        <x:v>Research</x:v>
      </x:c>
      <x:c r="B12" s="6" t="str">
        <x:v>See the 20,000+ word companion markdown atlas for indicator formulas, sources, and detailed backtest contract.</x:v>
      </x:c>
    </x:row>
  </x:sheetData>
  <x:pageMargins left="0.7" right="0.7" top="0.75" bottom="0.75" header="0.3" footer="0.3"/>
</x:worksheet>
</file>